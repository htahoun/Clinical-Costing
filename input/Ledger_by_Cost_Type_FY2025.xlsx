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types by month" sheetId="1" state="visible" r:id="rId1"/>
    <sheet xmlns:r="http://schemas.openxmlformats.org/officeDocument/2006/relationships" name="Mapping" sheetId="2" state="visible" r:id="rId2"/>
    <sheet xmlns:r="http://schemas.openxmlformats.org/officeDocument/2006/relationships" name="Questions" sheetId="3" state="visible" r:id="rId3"/>
    <sheet xmlns:r="http://schemas.openxmlformats.org/officeDocument/2006/relationships" name="Consumables detail" sheetId="4" state="visible" r:id="rId4"/>
    <sheet xmlns:r="http://schemas.openxmlformats.org/officeDocument/2006/relationships" name="Instructions" sheetId="5" state="visible" r:id="rId5"/>
    <sheet xmlns:r="http://schemas.openxmlformats.org/officeDocument/2006/relationships" name="Current implie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0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4" fontId="0" fillId="3" borderId="0" pivotButton="0" quotePrefix="0" xfId="0"/>
    <xf numFmtId="4" fontId="0" fillId="0" borderId="0" pivotButton="0" quotePrefix="0" xfId="0"/>
    <xf numFmtId="0" fontId="1" fillId="0" borderId="0" pivotButton="0" quotePrefix="0" xfId="0"/>
    <xf numFmtId="4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7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Cost type</t>
        </is>
      </c>
      <c r="B1" s="1" t="inlineStr">
        <is>
          <t>Description (Standard v2.1 Appendix 1)</t>
        </is>
      </c>
      <c r="C1" s="1" t="inlineStr">
        <is>
          <t>Jan</t>
        </is>
      </c>
      <c r="D1" s="1" t="inlineStr">
        <is>
          <t>Feb</t>
        </is>
      </c>
      <c r="E1" s="1" t="inlineStr">
        <is>
          <t>Mar</t>
        </is>
      </c>
      <c r="F1" s="1" t="inlineStr">
        <is>
          <t>Apr</t>
        </is>
      </c>
      <c r="G1" s="1" t="inlineStr">
        <is>
          <t>May</t>
        </is>
      </c>
      <c r="H1" s="1" t="inlineStr">
        <is>
          <t>Jun</t>
        </is>
      </c>
      <c r="I1" s="1" t="inlineStr">
        <is>
          <t>Jul</t>
        </is>
      </c>
      <c r="J1" s="1" t="inlineStr">
        <is>
          <t>Aug</t>
        </is>
      </c>
      <c r="K1" s="1" t="inlineStr">
        <is>
          <t>Sep</t>
        </is>
      </c>
      <c r="L1" s="1" t="inlineStr">
        <is>
          <t>Oct</t>
        </is>
      </c>
      <c r="M1" s="1" t="inlineStr">
        <is>
          <t>Nov</t>
        </is>
      </c>
      <c r="N1" s="1" t="inlineStr">
        <is>
          <t>Dec</t>
        </is>
      </c>
      <c r="O1" s="1" t="inlineStr">
        <is>
          <t>FY2025 total</t>
        </is>
      </c>
    </row>
    <row r="2">
      <c r="A2" t="inlineStr">
        <is>
          <t>SWNurs</t>
        </is>
      </c>
      <c r="B2" t="inlineStr">
        <is>
          <t>Salaries and wages — nursing (dental nurses)</t>
        </is>
      </c>
      <c r="C2" s="2" t="n">
        <v>25100</v>
      </c>
      <c r="D2" s="2" t="n">
        <v>25952</v>
      </c>
      <c r="E2" s="2" t="n">
        <v>25607</v>
      </c>
      <c r="F2" s="2" t="n">
        <v>25486</v>
      </c>
      <c r="G2" s="2" t="n">
        <v>29050</v>
      </c>
      <c r="H2" s="2" t="n">
        <v>29143.33</v>
      </c>
      <c r="I2" s="2" t="n">
        <v>26699.8</v>
      </c>
      <c r="J2" s="2" t="n">
        <v>29433</v>
      </c>
      <c r="K2" s="2" t="n">
        <v>20417</v>
      </c>
      <c r="L2" s="2" t="n">
        <v>29125</v>
      </c>
      <c r="M2" s="2" t="n">
        <v>29266.13</v>
      </c>
      <c r="N2" s="2" t="n">
        <v>29416.67</v>
      </c>
      <c r="O2" s="3">
        <f>SUM(C2:N2)</f>
        <v/>
      </c>
    </row>
    <row r="3">
      <c r="A3" t="inlineStr">
        <is>
          <t>SWDoc</t>
        </is>
      </c>
      <c r="B3" t="inlineStr">
        <is>
          <t>Salaries and wages — medical (dentists, oral surgeons, orthodontists)</t>
        </is>
      </c>
      <c r="C3" s="2" t="n">
        <v>171870</v>
      </c>
      <c r="D3" s="2" t="n">
        <v>225878.31</v>
      </c>
      <c r="E3" s="2" t="n">
        <v>206907</v>
      </c>
      <c r="F3" s="2" t="n">
        <v>136987</v>
      </c>
      <c r="G3" s="2" t="n">
        <v>152254</v>
      </c>
      <c r="H3" s="2" t="n">
        <v>132942</v>
      </c>
      <c r="I3" s="2" t="n">
        <v>107479</v>
      </c>
      <c r="J3" s="2" t="n">
        <v>102568</v>
      </c>
      <c r="K3" s="2" t="n">
        <v>122528</v>
      </c>
      <c r="L3" s="2" t="n">
        <v>162693</v>
      </c>
      <c r="M3" s="2" t="n">
        <v>129357.35</v>
      </c>
      <c r="N3" s="2" t="n">
        <v>166275.01</v>
      </c>
      <c r="O3" s="3">
        <f>SUM(C3:N3)</f>
        <v/>
      </c>
    </row>
    <row r="4">
      <c r="A4" t="inlineStr">
        <is>
          <t>SWAllied</t>
        </is>
      </c>
      <c r="B4" t="inlineStr">
        <is>
          <t>Salaries and wages — allied health incl. technicians (hygienists, radiographers, lab technicians)</t>
        </is>
      </c>
      <c r="C4" s="2" t="n">
        <v>14150</v>
      </c>
      <c r="D4" s="2" t="n">
        <v>12610</v>
      </c>
      <c r="E4" s="2" t="n">
        <v>12629</v>
      </c>
      <c r="F4" s="2" t="n">
        <v>9545</v>
      </c>
      <c r="G4" s="2" t="n">
        <v>12045.69</v>
      </c>
      <c r="H4" s="2" t="n">
        <v>7000</v>
      </c>
      <c r="I4" s="2" t="n">
        <v>10700</v>
      </c>
      <c r="J4" s="2" t="n">
        <v>14797</v>
      </c>
      <c r="K4" s="2" t="n">
        <v>14500</v>
      </c>
      <c r="L4" s="2" t="n">
        <v>12340.34</v>
      </c>
      <c r="M4" s="2" t="n">
        <v>15185.48</v>
      </c>
      <c r="N4" s="2" t="n">
        <v>20317.75</v>
      </c>
      <c r="O4" s="3">
        <f>SUM(C4:N4)</f>
        <v/>
      </c>
    </row>
    <row r="5">
      <c r="A5" t="inlineStr">
        <is>
          <t>SWNonClin</t>
        </is>
      </c>
      <c r="B5" t="inlineStr">
        <is>
          <t>Salaries and wages — non-clinical staff recorded in DIRECT cost centres (chairside assistants, clinic clerks). Admin/management in overhead cost centres go to OHF.</t>
        </is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3">
        <f>SUM(C5:N5)</f>
        <v/>
      </c>
    </row>
    <row r="6">
      <c r="A6" t="inlineStr">
        <is>
          <t>Laboratory</t>
        </is>
      </c>
      <c r="B6" t="inlineStr">
        <is>
          <t>Laboratory supplies and outsourced laboratory invoices (dental lab work)</t>
        </is>
      </c>
      <c r="C6" s="2" t="n">
        <v>17278.94</v>
      </c>
      <c r="D6" s="2" t="n">
        <v>18659.88</v>
      </c>
      <c r="E6" s="2" t="n">
        <v>45146.24</v>
      </c>
      <c r="F6" s="2" t="n">
        <v>27454.24</v>
      </c>
      <c r="G6" s="2" t="n">
        <v>22166.68</v>
      </c>
      <c r="H6" s="2" t="n">
        <v>13158.04</v>
      </c>
      <c r="I6" s="2" t="n">
        <v>23899.96</v>
      </c>
      <c r="J6" s="2" t="n">
        <v>31652.81</v>
      </c>
      <c r="K6" s="2" t="n">
        <v>19158.99</v>
      </c>
      <c r="L6" s="2" t="n">
        <v>20817.63</v>
      </c>
      <c r="M6" s="2" t="n">
        <v>36588.73</v>
      </c>
      <c r="N6" s="2" t="n">
        <v>39938.75</v>
      </c>
      <c r="O6" s="3">
        <f>SUM(C6:N6)</f>
        <v/>
      </c>
    </row>
    <row r="7">
      <c r="A7" t="inlineStr">
        <is>
          <t>Imaging</t>
        </is>
      </c>
      <c r="B7" t="inlineStr">
        <is>
          <t>Imaging supplies (films, sensors, contrast) and outsourced imaging invoices</t>
        </is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3">
        <f>SUM(C7:N7)</f>
        <v/>
      </c>
    </row>
    <row r="8">
      <c r="A8" t="inlineStr">
        <is>
          <t>Pharmacy</t>
        </is>
      </c>
      <c r="B8" t="inlineStr">
        <is>
          <t>Drugs, anaesthetics and pharmacy services</t>
        </is>
      </c>
      <c r="C8" s="2" t="n">
        <v>1252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3">
        <f>SUM(C8:N8)</f>
        <v/>
      </c>
    </row>
    <row r="9">
      <c r="A9" t="inlineStr">
        <is>
          <t>Prostheses</t>
        </is>
      </c>
      <c r="B9" t="inlineStr">
        <is>
          <t>Implants, crowns, dentures and other implantable devices</t>
        </is>
      </c>
      <c r="C9" s="2" t="n">
        <v>52796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3">
        <f>SUM(C9:N9)</f>
        <v/>
      </c>
    </row>
    <row r="10">
      <c r="A10" t="inlineStr">
        <is>
          <t>MS</t>
        </is>
      </c>
      <c r="B10" t="inlineStr">
        <is>
          <t>All other medical, surgical and dental supplies</t>
        </is>
      </c>
      <c r="C10" s="2" t="n">
        <v>31662.75</v>
      </c>
      <c r="D10" s="2" t="n">
        <v>70788.92999999999</v>
      </c>
      <c r="E10" s="2" t="n">
        <v>75671.17</v>
      </c>
      <c r="F10" s="2" t="n">
        <v>75671.17</v>
      </c>
      <c r="G10" s="2" t="n">
        <v>67508.86</v>
      </c>
      <c r="H10" s="2" t="n">
        <v>65224.37</v>
      </c>
      <c r="I10" s="2" t="n">
        <v>50882.71</v>
      </c>
      <c r="J10" s="2" t="n">
        <v>71569.74000000001</v>
      </c>
      <c r="K10" s="2" t="n">
        <v>65977.17</v>
      </c>
      <c r="L10" s="2" t="n">
        <v>55565.68</v>
      </c>
      <c r="M10" s="2" t="n">
        <v>45169.67</v>
      </c>
      <c r="N10" s="2" t="n">
        <v>60394.62</v>
      </c>
      <c r="O10" s="3">
        <f>SUM(C10:N10)</f>
        <v/>
      </c>
    </row>
    <row r="11">
      <c r="A11" t="inlineStr">
        <is>
          <t>Hotel</t>
        </is>
      </c>
      <c r="B11" t="inlineStr">
        <is>
          <t>Cleaning products/services, linen and laundry, patient food</t>
        </is>
      </c>
      <c r="C11" s="2" t="n">
        <v>0</v>
      </c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3">
        <f>SUM(C11:N11)</f>
        <v/>
      </c>
    </row>
    <row r="12">
      <c r="A12" t="inlineStr">
        <is>
          <t>GS</t>
        </is>
      </c>
      <c r="B12" t="inlineStr">
        <is>
          <t>All other goods and services recorded in DIRECT cost centres (e.g. rent, utilities, security if booked to the clinic rooms)</t>
        </is>
      </c>
      <c r="C12" s="2" t="n">
        <v>1000</v>
      </c>
      <c r="D12" s="2" t="n">
        <v>2258.57</v>
      </c>
      <c r="E12" s="2" t="n">
        <v>0</v>
      </c>
      <c r="F12" s="2" t="n">
        <v>830</v>
      </c>
      <c r="G12" s="2" t="n">
        <v>0</v>
      </c>
      <c r="H12" s="2" t="n">
        <v>0</v>
      </c>
      <c r="I12" s="2" t="n">
        <v>0</v>
      </c>
      <c r="J12" s="2" t="n">
        <v>0</v>
      </c>
      <c r="K12" s="2" t="n">
        <v>0</v>
      </c>
      <c r="L12" s="2" t="n">
        <v>1350</v>
      </c>
      <c r="M12" s="2" t="n">
        <v>0</v>
      </c>
      <c r="N12" s="2" t="n">
        <v>200</v>
      </c>
      <c r="O12" s="3">
        <f>SUM(C12:N12)</f>
        <v/>
      </c>
    </row>
    <row r="13">
      <c r="A13" t="inlineStr">
        <is>
          <t>Depreciation</t>
        </is>
      </c>
      <c r="B13" t="inlineStr">
        <is>
          <t>Depreciation and amortisation recorded in DIRECT cost centres (dental chairs, imaging units)</t>
        </is>
      </c>
      <c r="C13" s="2" t="n">
        <v>10556.61</v>
      </c>
      <c r="D13" s="2" t="n">
        <v>10556.61</v>
      </c>
      <c r="E13" s="2" t="n">
        <v>10556.61</v>
      </c>
      <c r="F13" s="2" t="n">
        <v>10556.61</v>
      </c>
      <c r="G13" s="2" t="n">
        <v>10556.61</v>
      </c>
      <c r="H13" s="2" t="n">
        <v>10556.61</v>
      </c>
      <c r="I13" s="2" t="n">
        <v>10556.61</v>
      </c>
      <c r="J13" s="2" t="n">
        <v>10556.61</v>
      </c>
      <c r="K13" s="2" t="n">
        <v>10556.61</v>
      </c>
      <c r="L13" s="2" t="n">
        <v>10556.61</v>
      </c>
      <c r="M13" s="2" t="n">
        <v>10556.61</v>
      </c>
      <c r="N13" s="2" t="n">
        <v>10556.61</v>
      </c>
      <c r="O13" s="3">
        <f>SUM(C13:N13)</f>
        <v/>
      </c>
    </row>
    <row r="14">
      <c r="A14" t="inlineStr">
        <is>
          <t>OHF</t>
        </is>
      </c>
      <c r="B14" t="inlineStr">
        <is>
          <t>ALL expenses of OVERHEAD cost centres except depreciation: administration, reception/front office, management, HR, finance, IT, marketing, facility rent/utilities/maintenance booked to overhead centres</t>
        </is>
      </c>
      <c r="C14" s="2" t="n">
        <v>174794.2</v>
      </c>
      <c r="D14" s="2" t="n">
        <v>125812.55</v>
      </c>
      <c r="E14" s="2" t="n">
        <v>165557.05</v>
      </c>
      <c r="F14" s="2" t="n">
        <v>162587.9</v>
      </c>
      <c r="G14" s="2" t="n">
        <v>189460.05</v>
      </c>
      <c r="H14" s="2" t="n">
        <v>318569.21</v>
      </c>
      <c r="I14" s="2" t="n">
        <v>222423.94</v>
      </c>
      <c r="J14" s="2" t="n">
        <v>236388.14</v>
      </c>
      <c r="K14" s="2" t="n">
        <v>225879.48</v>
      </c>
      <c r="L14" s="2" t="n">
        <v>226252.92</v>
      </c>
      <c r="M14" s="2" t="n">
        <v>200097.26</v>
      </c>
      <c r="N14" s="2" t="n">
        <v>268305.02</v>
      </c>
      <c r="O14" s="3">
        <f>SUM(C14:N14)</f>
        <v/>
      </c>
    </row>
    <row r="15">
      <c r="A15" t="inlineStr">
        <is>
          <t>OHDepreciation</t>
        </is>
      </c>
      <c r="B15" t="inlineStr">
        <is>
          <t>Depreciation and amortisation recorded in OVERHEAD cost centres</t>
        </is>
      </c>
      <c r="C15" s="2" t="n">
        <v>2524.8</v>
      </c>
      <c r="D15" s="2" t="n">
        <v>2524.8</v>
      </c>
      <c r="E15" s="2" t="n">
        <v>2524.8</v>
      </c>
      <c r="F15" s="2" t="n">
        <v>2524.8</v>
      </c>
      <c r="G15" s="2" t="n">
        <v>2524.8</v>
      </c>
      <c r="H15" s="2" t="n">
        <v>2524.8</v>
      </c>
      <c r="I15" s="2" t="n">
        <v>2524.8</v>
      </c>
      <c r="J15" s="2" t="n">
        <v>2524.8</v>
      </c>
      <c r="K15" s="2" t="n">
        <v>2524.8</v>
      </c>
      <c r="L15" s="2" t="n">
        <v>2524.8</v>
      </c>
      <c r="M15" s="2" t="n">
        <v>2524.8</v>
      </c>
      <c r="N15" s="2" t="n">
        <v>2524.8</v>
      </c>
      <c r="O15" s="3">
        <f>SUM(C15:N15)</f>
        <v/>
      </c>
    </row>
    <row r="16">
      <c r="A16" t="inlineStr">
        <is>
          <t>OHC</t>
        </is>
      </c>
      <c r="B16" t="inlineStr">
        <is>
          <t>Overheads charged by a corporate office / shared services (group fees, head-office recharges)</t>
        </is>
      </c>
      <c r="C16" s="2" t="n">
        <v>8317</v>
      </c>
      <c r="D16" s="2" t="n">
        <v>37300</v>
      </c>
      <c r="E16" s="2" t="n">
        <v>62270</v>
      </c>
      <c r="F16" s="2" t="n">
        <v>66480.95</v>
      </c>
      <c r="G16" s="2" t="n">
        <v>2500</v>
      </c>
      <c r="H16" s="2" t="n">
        <v>37375.73</v>
      </c>
      <c r="I16" s="2" t="n">
        <v>25000</v>
      </c>
      <c r="J16" s="2" t="n">
        <v>27500</v>
      </c>
      <c r="K16" s="2" t="n">
        <v>28000</v>
      </c>
      <c r="L16" s="2" t="n">
        <v>25500</v>
      </c>
      <c r="M16" s="2" t="n">
        <v>25000</v>
      </c>
      <c r="N16" s="2" t="n">
        <v>25104.5</v>
      </c>
      <c r="O16" s="3">
        <f>SUM(C16:N16)</f>
        <v/>
      </c>
    </row>
    <row r="17">
      <c r="A17" t="inlineStr">
        <is>
          <t>NABMs</t>
        </is>
      </c>
      <c r="B17" t="inlineStr">
        <is>
          <t>Non-activity based mandate funding by DOH, reported as negative cost (normally 0 for a private clinic)</t>
        </is>
      </c>
      <c r="C17" s="2" t="n">
        <v>0</v>
      </c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3">
        <f>SUM(C17:N17)</f>
        <v/>
      </c>
    </row>
    <row r="18"/>
    <row r="19">
      <c r="A19" s="4" t="inlineStr">
        <is>
          <t>Total entered</t>
        </is>
      </c>
      <c r="B19" s="4" t="inlineStr"/>
      <c r="C19" s="5">
        <f>SUM(C2:C17)</f>
        <v/>
      </c>
      <c r="D19" s="5">
        <f>SUM(D2:D17)</f>
        <v/>
      </c>
      <c r="E19" s="5">
        <f>SUM(E2:E17)</f>
        <v/>
      </c>
      <c r="F19" s="5">
        <f>SUM(F2:F17)</f>
        <v/>
      </c>
      <c r="G19" s="5">
        <f>SUM(G2:G17)</f>
        <v/>
      </c>
      <c r="H19" s="5">
        <f>SUM(H2:H17)</f>
        <v/>
      </c>
      <c r="I19" s="5">
        <f>SUM(I2:I17)</f>
        <v/>
      </c>
      <c r="J19" s="5">
        <f>SUM(J2:J17)</f>
        <v/>
      </c>
      <c r="K19" s="5">
        <f>SUM(K2:K17)</f>
        <v/>
      </c>
      <c r="L19" s="5">
        <f>SUM(L2:L17)</f>
        <v/>
      </c>
      <c r="M19" s="5">
        <f>SUM(M2:M17)</f>
        <v/>
      </c>
      <c r="N19" s="5">
        <f>SUM(N2:N17)</f>
        <v/>
      </c>
      <c r="O19" s="5">
        <f>SUM(O2:O17)</f>
        <v/>
      </c>
    </row>
    <row r="20">
      <c r="A20" s="4" t="inlineStr">
        <is>
          <t>Ledger (Arjun, locked)</t>
        </is>
      </c>
      <c r="B20" s="4" t="inlineStr"/>
      <c r="C20" s="5" t="n">
        <v>511302.3</v>
      </c>
      <c r="D20" s="5" t="n">
        <v>532341.65</v>
      </c>
      <c r="E20" s="5" t="n">
        <v>606868.87</v>
      </c>
      <c r="F20" s="5" t="n">
        <v>518123.67</v>
      </c>
      <c r="G20" s="5" t="n">
        <v>488066.69</v>
      </c>
      <c r="H20" s="5" t="n">
        <v>616494.09</v>
      </c>
      <c r="I20" s="5" t="n">
        <v>480166.82</v>
      </c>
      <c r="J20" s="5" t="n">
        <v>526990.1</v>
      </c>
      <c r="K20" s="5" t="n">
        <v>509542.05</v>
      </c>
      <c r="L20" s="5" t="n">
        <v>546725.98</v>
      </c>
      <c r="M20" s="5" t="n">
        <v>493746.03</v>
      </c>
      <c r="N20" s="5" t="n">
        <v>623033.73</v>
      </c>
      <c r="O20" s="5" t="n">
        <v>6453401.98</v>
      </c>
    </row>
    <row r="21">
      <c r="A21" s="4" t="inlineStr">
        <is>
          <t>Difference (must be 0.00)</t>
        </is>
      </c>
      <c r="B21" s="4" t="inlineStr"/>
      <c r="C21" s="5">
        <f>C19-C20</f>
        <v/>
      </c>
      <c r="D21" s="5">
        <f>D19-D20</f>
        <v/>
      </c>
      <c r="E21" s="5">
        <f>E19-E20</f>
        <v/>
      </c>
      <c r="F21" s="5">
        <f>F19-F20</f>
        <v/>
      </c>
      <c r="G21" s="5">
        <f>G19-G20</f>
        <v/>
      </c>
      <c r="H21" s="5">
        <f>H19-H20</f>
        <v/>
      </c>
      <c r="I21" s="5">
        <f>I19-I20</f>
        <v/>
      </c>
      <c r="J21" s="5">
        <f>J19-J20</f>
        <v/>
      </c>
      <c r="K21" s="5">
        <f>K19-K20</f>
        <v/>
      </c>
      <c r="L21" s="5">
        <f>L19-L20</f>
        <v/>
      </c>
      <c r="M21" s="5">
        <f>M19-M20</f>
        <v/>
      </c>
      <c r="N21" s="5">
        <f>N19-N20</f>
        <v/>
      </c>
      <c r="O21" s="5">
        <f>O19-O20</f>
        <v/>
      </c>
    </row>
    <row r="22"/>
    <row r="23">
      <c r="A23" s="4" t="inlineStr">
        <is>
          <t>Overhead ratio (OHF+OHDepreciation+OHC) / total</t>
        </is>
      </c>
      <c r="B23" s="4" t="inlineStr"/>
      <c r="C23" s="6">
        <f>IFERROR((C14+C15+C16)/C19,0)</f>
        <v/>
      </c>
      <c r="D23" s="6">
        <f>IFERROR((D14+D15+D16)/D19,0)</f>
        <v/>
      </c>
      <c r="E23" s="6">
        <f>IFERROR((E14+E15+E16)/E19,0)</f>
        <v/>
      </c>
      <c r="F23" s="6">
        <f>IFERROR((F14+F15+F16)/F19,0)</f>
        <v/>
      </c>
      <c r="G23" s="6">
        <f>IFERROR((G14+G15+G16)/G19,0)</f>
        <v/>
      </c>
      <c r="H23" s="6">
        <f>IFERROR((H14+H15+H16)/H19,0)</f>
        <v/>
      </c>
      <c r="I23" s="6">
        <f>IFERROR((I14+I15+I16)/I19,0)</f>
        <v/>
      </c>
      <c r="J23" s="6">
        <f>IFERROR((J14+J15+J16)/J19,0)</f>
        <v/>
      </c>
      <c r="K23" s="6">
        <f>IFERROR((K14+K15+K16)/K19,0)</f>
        <v/>
      </c>
      <c r="L23" s="6">
        <f>IFERROR((L14+L15+L16)/L19,0)</f>
        <v/>
      </c>
      <c r="M23" s="6">
        <f>IFERROR((M14+M15+M16)/M19,0)</f>
        <v/>
      </c>
      <c r="N23" s="6">
        <f>IFERROR((N14+N15+N16)/N19,0)</f>
        <v/>
      </c>
      <c r="O23" s="6">
        <f>IFERROR((O14+O15+O16)/O19,0)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6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14" customWidth="1" min="3" max="3"/>
    <col width="36" customWidth="1" min="4" max="4"/>
    <col width="90" customWidth="1" min="5" max="5"/>
  </cols>
  <sheetData>
    <row r="1">
      <c r="A1" s="1" t="inlineStr">
        <is>
          <t>Source</t>
        </is>
      </c>
      <c r="B1" s="1" t="inlineStr">
        <is>
          <t>Ledger head / split</t>
        </is>
      </c>
      <c r="C1" s="1" t="inlineStr">
        <is>
          <t>DOH cost type</t>
        </is>
      </c>
      <c r="D1" s="1" t="inlineStr">
        <is>
          <t>Cost-centre class (Stage 2)</t>
        </is>
      </c>
      <c r="E1" s="1" t="inlineStr">
        <is>
          <t>Basis</t>
        </is>
      </c>
      <c r="F1" s="1" t="inlineStr">
        <is>
          <t>Jan</t>
        </is>
      </c>
      <c r="G1" s="1" t="inlineStr">
        <is>
          <t>Feb</t>
        </is>
      </c>
      <c r="H1" s="1" t="inlineStr">
        <is>
          <t>Mar</t>
        </is>
      </c>
      <c r="I1" s="1" t="inlineStr">
        <is>
          <t>Apr</t>
        </is>
      </c>
      <c r="J1" s="1" t="inlineStr">
        <is>
          <t>May</t>
        </is>
      </c>
      <c r="K1" s="1" t="inlineStr">
        <is>
          <t>Jun</t>
        </is>
      </c>
      <c r="L1" s="1" t="inlineStr">
        <is>
          <t>Jul</t>
        </is>
      </c>
      <c r="M1" s="1" t="inlineStr">
        <is>
          <t>Aug</t>
        </is>
      </c>
      <c r="N1" s="1" t="inlineStr">
        <is>
          <t>Sep</t>
        </is>
      </c>
      <c r="O1" s="1" t="inlineStr">
        <is>
          <t>Oct</t>
        </is>
      </c>
      <c r="P1" s="1" t="inlineStr">
        <is>
          <t>Nov</t>
        </is>
      </c>
      <c r="Q1" s="1" t="inlineStr">
        <is>
          <t>Dec</t>
        </is>
      </c>
      <c r="R1" s="1" t="inlineStr">
        <is>
          <t>FY2025</t>
        </is>
      </c>
    </row>
    <row r="2">
      <c r="A2" t="inlineStr">
        <is>
          <t>Salary sheet</t>
        </is>
      </c>
      <c r="B2" t="inlineStr">
        <is>
          <t>Salaries &amp; Wages: Nurse/licensed</t>
        </is>
      </c>
      <c r="C2" t="inlineStr">
        <is>
          <t>SWNurs</t>
        </is>
      </c>
      <c r="D2" t="inlineStr">
        <is>
          <t>Direct — dental surgeries</t>
        </is>
      </c>
      <c r="E2" t="inlineStr">
        <is>
          <t>licensed dental nurses</t>
        </is>
      </c>
      <c r="F2" s="3" t="n">
        <v>19500</v>
      </c>
      <c r="G2" s="3" t="n">
        <v>19952</v>
      </c>
      <c r="H2" s="3" t="n">
        <v>19607</v>
      </c>
      <c r="I2" s="3" t="n">
        <v>18228</v>
      </c>
      <c r="J2" s="3" t="n">
        <v>20050</v>
      </c>
      <c r="K2" s="3" t="n">
        <v>19643.33</v>
      </c>
      <c r="L2" s="3" t="n">
        <v>17632.8</v>
      </c>
      <c r="M2" s="3" t="n">
        <v>19933</v>
      </c>
      <c r="N2" s="3" t="n">
        <v>10417</v>
      </c>
      <c r="O2" s="3" t="n">
        <v>19125</v>
      </c>
      <c r="P2" s="3" t="n">
        <v>19266.13</v>
      </c>
      <c r="Q2" s="3" t="n">
        <v>19416.67</v>
      </c>
      <c r="R2" s="3" t="n">
        <v>222770.93</v>
      </c>
    </row>
    <row r="3">
      <c r="A3" t="inlineStr">
        <is>
          <t>Salary sheet</t>
        </is>
      </c>
      <c r="B3" t="inlineStr">
        <is>
          <t>Salaries &amp; Wages: Nurse/No License</t>
        </is>
      </c>
      <c r="C3" t="inlineStr">
        <is>
          <t>SWNurs</t>
        </is>
      </c>
      <c r="D3" t="inlineStr">
        <is>
          <t>Direct — dental surgeries</t>
        </is>
      </c>
      <c r="E3" t="inlineStr">
        <is>
          <t>dental assistants (unlicensed nurses)</t>
        </is>
      </c>
      <c r="F3" s="3" t="n">
        <v>5600</v>
      </c>
      <c r="G3" s="3" t="n">
        <v>6000</v>
      </c>
      <c r="H3" s="3" t="n">
        <v>6000</v>
      </c>
      <c r="I3" s="3" t="n">
        <v>7258</v>
      </c>
      <c r="J3" s="3" t="n">
        <v>9000</v>
      </c>
      <c r="K3" s="3" t="n">
        <v>9500</v>
      </c>
      <c r="L3" s="3" t="n">
        <v>9067</v>
      </c>
      <c r="M3" s="3" t="n">
        <v>9500</v>
      </c>
      <c r="N3" s="3" t="n">
        <v>10000</v>
      </c>
      <c r="O3" s="3" t="n">
        <v>10000</v>
      </c>
      <c r="P3" s="3" t="n">
        <v>10000</v>
      </c>
      <c r="Q3" s="3" t="n">
        <v>10000</v>
      </c>
      <c r="R3" s="3" t="n">
        <v>101925</v>
      </c>
    </row>
    <row r="4">
      <c r="A4" t="inlineStr">
        <is>
          <t>Salary sheet</t>
        </is>
      </c>
      <c r="B4" t="inlineStr">
        <is>
          <t>Salaries &amp; Wages: Direct Dr</t>
        </is>
      </c>
      <c r="C4" t="inlineStr">
        <is>
          <t>SWDoc</t>
        </is>
      </c>
      <c r="D4" t="inlineStr">
        <is>
          <t>Direct — dental surgeries</t>
        </is>
      </c>
      <c r="E4" t="inlineStr">
        <is>
          <t>dentists, oral surgeon, orthodontist (Salary sheet 'Direct Dr')</t>
        </is>
      </c>
      <c r="F4" s="3" t="n">
        <v>171870</v>
      </c>
      <c r="G4" s="3" t="n">
        <v>225878.31</v>
      </c>
      <c r="H4" s="3" t="n">
        <v>206907</v>
      </c>
      <c r="I4" s="3" t="n">
        <v>136987</v>
      </c>
      <c r="J4" s="3" t="n">
        <v>152254</v>
      </c>
      <c r="K4" s="3" t="n">
        <v>132942</v>
      </c>
      <c r="L4" s="3" t="n">
        <v>107479</v>
      </c>
      <c r="M4" s="3" t="n">
        <v>102568</v>
      </c>
      <c r="N4" s="3" t="n">
        <v>122528</v>
      </c>
      <c r="O4" s="3" t="n">
        <v>162693</v>
      </c>
      <c r="P4" s="3" t="n">
        <v>129357.35</v>
      </c>
      <c r="Q4" s="3" t="n">
        <v>166275.01</v>
      </c>
      <c r="R4" s="3" t="n">
        <v>1817738.67</v>
      </c>
    </row>
    <row r="5">
      <c r="A5" t="inlineStr">
        <is>
          <t>Salary sheet</t>
        </is>
      </c>
      <c r="B5" t="inlineStr">
        <is>
          <t>Salaries &amp; Wages: Cssd</t>
        </is>
      </c>
      <c r="C5" t="inlineStr">
        <is>
          <t>SWAllied</t>
        </is>
      </c>
      <c r="D5" t="inlineStr">
        <is>
          <t>Direct — CSSD (cost centre 07)</t>
        </is>
      </c>
      <c r="E5" t="inlineStr">
        <is>
          <t>sterilisation technicians</t>
        </is>
      </c>
      <c r="F5" s="3" t="n">
        <v>7000</v>
      </c>
      <c r="G5" s="3" t="n">
        <v>7000</v>
      </c>
      <c r="H5" s="3" t="n">
        <v>7000</v>
      </c>
      <c r="I5" s="3" t="n">
        <v>6500</v>
      </c>
      <c r="J5" s="3" t="n">
        <v>7000</v>
      </c>
      <c r="K5" s="3" t="n">
        <v>7000</v>
      </c>
      <c r="L5" s="3" t="n">
        <v>7000</v>
      </c>
      <c r="M5" s="3" t="n">
        <v>7000</v>
      </c>
      <c r="N5" s="3" t="n">
        <v>7500</v>
      </c>
      <c r="O5" s="3" t="n">
        <v>7500</v>
      </c>
      <c r="P5" s="3" t="n">
        <v>7500</v>
      </c>
      <c r="Q5" s="3" t="n">
        <v>8000</v>
      </c>
      <c r="R5" s="3" t="n">
        <v>86000</v>
      </c>
    </row>
    <row r="6">
      <c r="A6" t="inlineStr">
        <is>
          <t>Salary sheet</t>
        </is>
      </c>
      <c r="B6" t="inlineStr">
        <is>
          <t>Salaries &amp; Wages: Indirect/LAB</t>
        </is>
      </c>
      <c r="C6" t="inlineStr">
        <is>
          <t>SWAllied</t>
        </is>
      </c>
      <c r="D6" t="inlineStr">
        <is>
          <t>Direct — laboratory (cost centre 09)</t>
        </is>
      </c>
      <c r="E6" t="inlineStr">
        <is>
          <t>in-house dental laboratory technicians</t>
        </is>
      </c>
      <c r="F6" s="3" t="n">
        <v>7150</v>
      </c>
      <c r="G6" s="3" t="n">
        <v>5610</v>
      </c>
      <c r="H6" s="3" t="n">
        <v>5629</v>
      </c>
      <c r="I6" s="3" t="n">
        <v>3045</v>
      </c>
      <c r="J6" s="3" t="n">
        <v>5045.69</v>
      </c>
      <c r="K6" s="3" t="n">
        <v>0</v>
      </c>
      <c r="L6" s="3" t="n">
        <v>3700</v>
      </c>
      <c r="M6" s="3" t="n">
        <v>7797</v>
      </c>
      <c r="N6" s="3" t="n">
        <v>7000</v>
      </c>
      <c r="O6" s="3" t="n">
        <v>4840.34</v>
      </c>
      <c r="P6" s="3" t="n">
        <v>7685.48</v>
      </c>
      <c r="Q6" s="3" t="n">
        <v>12317.75</v>
      </c>
      <c r="R6" s="3" t="n">
        <v>69820.25999999999</v>
      </c>
    </row>
    <row r="7">
      <c r="A7" t="inlineStr">
        <is>
          <t>Consumption sheet</t>
        </is>
      </c>
      <c r="B7" t="inlineStr">
        <is>
          <t>Cost of Goods Sold: Internal LAB</t>
        </is>
      </c>
      <c r="C7" t="inlineStr">
        <is>
          <t>Laboratory</t>
        </is>
      </c>
      <c r="D7" t="inlineStr">
        <is>
          <t>Direct — laboratory</t>
        </is>
      </c>
      <c r="E7" t="inlineStr">
        <is>
          <t>in-house dental laboratory materials</t>
        </is>
      </c>
      <c r="F7" s="3" t="n">
        <v>0</v>
      </c>
      <c r="G7" s="3" t="n">
        <v>18259.88</v>
      </c>
      <c r="H7" s="3" t="n">
        <v>21431.24</v>
      </c>
      <c r="I7" s="3" t="n">
        <v>21431.24</v>
      </c>
      <c r="J7" s="3" t="n">
        <v>7316.68</v>
      </c>
      <c r="K7" s="3" t="n">
        <v>13158.04</v>
      </c>
      <c r="L7" s="3" t="n">
        <v>13819.96</v>
      </c>
      <c r="M7" s="3" t="n">
        <v>20017.81</v>
      </c>
      <c r="N7" s="3" t="n">
        <v>16858.99</v>
      </c>
      <c r="O7" s="3" t="n">
        <v>18917.63</v>
      </c>
      <c r="P7" s="3" t="n">
        <v>15006.23</v>
      </c>
      <c r="Q7" s="3" t="n">
        <v>15194.75</v>
      </c>
      <c r="R7" s="3" t="n">
        <v>181412.45</v>
      </c>
    </row>
    <row r="8">
      <c r="A8" t="inlineStr">
        <is>
          <t>Monthly sheet</t>
        </is>
      </c>
      <c r="B8" t="inlineStr">
        <is>
          <t>External Lab</t>
        </is>
      </c>
      <c r="C8" t="inlineStr">
        <is>
          <t>Laboratory</t>
        </is>
      </c>
      <c r="D8" t="inlineStr">
        <is>
          <t>Direct — laboratory</t>
        </is>
      </c>
      <c r="E8" t="inlineStr">
        <is>
          <t>outsourced dental laboratory invoices (expense head)</t>
        </is>
      </c>
      <c r="F8" s="3" t="n">
        <v>1870</v>
      </c>
      <c r="G8" s="3" t="n">
        <v>200</v>
      </c>
      <c r="H8" s="3" t="n">
        <v>16430</v>
      </c>
      <c r="I8" s="3" t="n">
        <v>4288</v>
      </c>
      <c r="J8" s="3" t="n">
        <v>7425</v>
      </c>
      <c r="K8" s="3" t="n">
        <v>0</v>
      </c>
      <c r="L8" s="3" t="n">
        <v>5270</v>
      </c>
      <c r="M8" s="3" t="n">
        <v>6381</v>
      </c>
      <c r="N8" s="3" t="n">
        <v>1150</v>
      </c>
      <c r="O8" s="3" t="n">
        <v>950</v>
      </c>
      <c r="P8" s="3" t="n">
        <v>10595</v>
      </c>
      <c r="Q8" s="3" t="n">
        <v>12186.25</v>
      </c>
      <c r="R8" s="3" t="n">
        <v>66745.25</v>
      </c>
    </row>
    <row r="9">
      <c r="A9" t="inlineStr">
        <is>
          <t>Consumption sheet</t>
        </is>
      </c>
      <c r="B9" t="inlineStr">
        <is>
          <t>Cost of Goods Sold: External LAB</t>
        </is>
      </c>
      <c r="C9" t="inlineStr">
        <is>
          <t>Laboratory</t>
        </is>
      </c>
      <c r="D9" t="inlineStr">
        <is>
          <t>Direct — laboratory</t>
        </is>
      </c>
      <c r="E9" t="inlineStr">
        <is>
          <t>outsourced laboratory invoices booked in cost of goods sold</t>
        </is>
      </c>
      <c r="F9" s="3" t="n">
        <v>0</v>
      </c>
      <c r="G9" s="3" t="n">
        <v>200</v>
      </c>
      <c r="H9" s="3" t="n">
        <v>7285</v>
      </c>
      <c r="I9" s="3" t="n">
        <v>1735</v>
      </c>
      <c r="J9" s="3" t="n">
        <v>7425</v>
      </c>
      <c r="K9" s="3" t="n">
        <v>0</v>
      </c>
      <c r="L9" s="3" t="n">
        <v>4810</v>
      </c>
      <c r="M9" s="3" t="n">
        <v>5254</v>
      </c>
      <c r="N9" s="3" t="n">
        <v>1150</v>
      </c>
      <c r="O9" s="3" t="n">
        <v>950</v>
      </c>
      <c r="P9" s="3" t="n">
        <v>10987.5</v>
      </c>
      <c r="Q9" s="3" t="n">
        <v>12557.75</v>
      </c>
      <c r="R9" s="3" t="n">
        <v>52354.25</v>
      </c>
    </row>
    <row r="10">
      <c r="A10" t="inlineStr">
        <is>
          <t>Stock movement</t>
        </is>
      </c>
      <c r="B10" t="inlineStr">
        <is>
          <t>Cost of Goods Sold (M01): Laboratory</t>
        </is>
      </c>
      <c r="C10" t="inlineStr">
        <is>
          <t>Laboratory</t>
        </is>
      </c>
      <c r="D10" t="inlineStr">
        <is>
          <t>Direct — laboratory</t>
        </is>
      </c>
      <c r="E10" t="inlineStr">
        <is>
          <t>in-house lab materials (blocks, blanks, 3D inks, stone, milling tools) + external lab invoices</t>
        </is>
      </c>
      <c r="F10" s="3" t="n">
        <v>15408.94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15408.94</v>
      </c>
    </row>
    <row r="11">
      <c r="A11" t="inlineStr">
        <is>
          <t>Stock movement</t>
        </is>
      </c>
      <c r="B11" t="inlineStr">
        <is>
          <t>Cost of Goods Sold (M01): Pharmacy</t>
        </is>
      </c>
      <c r="C11" t="inlineStr">
        <is>
          <t>Pharmacy</t>
        </is>
      </c>
      <c r="D11" t="inlineStr">
        <is>
          <t>Direct — dental surgeries</t>
        </is>
      </c>
      <c r="E11" t="inlineStr">
        <is>
          <t>local anaesthetic cartridges, nitrous oxide and oxygen</t>
        </is>
      </c>
      <c r="F11" s="3" t="n">
        <v>1252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1252</v>
      </c>
    </row>
    <row r="12">
      <c r="A12" t="inlineStr">
        <is>
          <t>Stock movement</t>
        </is>
      </c>
      <c r="B12" t="inlineStr">
        <is>
          <t>Cost of Goods Sold (M01): Prostheses</t>
        </is>
      </c>
      <c r="C12" t="inlineStr">
        <is>
          <t>Prostheses</t>
        </is>
      </c>
      <c r="D12" t="inlineStr">
        <is>
          <t>Direct — implants</t>
        </is>
      </c>
      <c r="E12" t="inlineStr">
        <is>
          <t>implant fixtures (net of internal returns), healing/cover screws, abutments, implant impression tools, bone-graft materials</t>
        </is>
      </c>
      <c r="F12" s="3" t="n">
        <v>52796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52796</v>
      </c>
    </row>
    <row r="13">
      <c r="A13" t="inlineStr">
        <is>
          <t>Consumption sheet</t>
        </is>
      </c>
      <c r="B13" t="inlineStr">
        <is>
          <t>Cost of Goods Sold: Consumables -( Dr</t>
        </is>
      </c>
      <c r="C13" t="inlineStr">
        <is>
          <t>MS</t>
        </is>
      </c>
      <c r="D13" t="inlineStr">
        <is>
          <t>Direct — dental surgeries</t>
        </is>
      </c>
      <c r="E13" t="inlineStr">
        <is>
          <t>clinical consumables issued to the dental surgeries</t>
        </is>
      </c>
      <c r="F13" s="3" t="n">
        <v>0</v>
      </c>
      <c r="G13" s="3" t="n">
        <v>67171.58</v>
      </c>
      <c r="H13" s="3" t="n">
        <v>70803.81</v>
      </c>
      <c r="I13" s="3" t="n">
        <v>70803.81</v>
      </c>
      <c r="J13" s="3" t="n">
        <v>63371.43</v>
      </c>
      <c r="K13" s="3" t="n">
        <v>61129.96</v>
      </c>
      <c r="L13" s="3" t="n">
        <v>46785.8</v>
      </c>
      <c r="M13" s="3" t="n">
        <v>67034.7</v>
      </c>
      <c r="N13" s="3" t="n">
        <v>62943.56</v>
      </c>
      <c r="O13" s="3" t="n">
        <v>51591.7</v>
      </c>
      <c r="P13" s="3" t="n">
        <v>39376.22</v>
      </c>
      <c r="Q13" s="3" t="n">
        <v>50594.58</v>
      </c>
      <c r="R13" s="3" t="n">
        <v>651607.15</v>
      </c>
    </row>
    <row r="14">
      <c r="A14" t="inlineStr">
        <is>
          <t>Consumption sheet</t>
        </is>
      </c>
      <c r="B14" t="inlineStr">
        <is>
          <t>Cost of Goods Sold: Consumables -  ( CSSD</t>
        </is>
      </c>
      <c r="C14" t="inlineStr">
        <is>
          <t>MS</t>
        </is>
      </c>
      <c r="D14" t="inlineStr">
        <is>
          <t>Direct — CSSD</t>
        </is>
      </c>
      <c r="E14" t="inlineStr">
        <is>
          <t>sterilisation and vital-signs consumables</t>
        </is>
      </c>
      <c r="F14" s="3" t="n">
        <v>0</v>
      </c>
      <c r="G14" s="3" t="n">
        <v>3617.35</v>
      </c>
      <c r="H14" s="3" t="n">
        <v>4867.36</v>
      </c>
      <c r="I14" s="3" t="n">
        <v>4867.36</v>
      </c>
      <c r="J14" s="3" t="n">
        <v>4137.43</v>
      </c>
      <c r="K14" s="3" t="n">
        <v>4094.41</v>
      </c>
      <c r="L14" s="3" t="n">
        <v>4096.91</v>
      </c>
      <c r="M14" s="3" t="n">
        <v>4535.04</v>
      </c>
      <c r="N14" s="3" t="n">
        <v>3033.61</v>
      </c>
      <c r="O14" s="3" t="n">
        <v>3973.98</v>
      </c>
      <c r="P14" s="3" t="n">
        <v>5793.45</v>
      </c>
      <c r="Q14" s="3" t="n">
        <v>9800.040000000001</v>
      </c>
      <c r="R14" s="3" t="n">
        <v>52816.94</v>
      </c>
    </row>
    <row r="15">
      <c r="A15" t="inlineStr">
        <is>
          <t>Stock movement</t>
        </is>
      </c>
      <c r="B15" t="inlineStr">
        <is>
          <t>Cost of Goods Sold (M01): MS</t>
        </is>
      </c>
      <c r="C15" t="inlineStr">
        <is>
          <t>MS</t>
        </is>
      </c>
      <c r="D15" t="inlineStr">
        <is>
          <t>Direct — dental surgeries / CSSD</t>
        </is>
      </c>
      <c r="E15" t="inlineStr">
        <is>
          <t>restorative, endodontic, burs, impression, bleaching, surgical, infection-control supplies, needles/syringes, hand instruments</t>
        </is>
      </c>
      <c r="F15" s="3" t="n">
        <v>31662.75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31662.75</v>
      </c>
    </row>
    <row r="16">
      <c r="A16" t="inlineStr">
        <is>
          <t>Monthly sheet</t>
        </is>
      </c>
      <c r="B16" t="inlineStr">
        <is>
          <t>Equipment Maintenanace</t>
        </is>
      </c>
      <c r="C16" t="inlineStr">
        <is>
          <t>GS</t>
        </is>
      </c>
      <c r="D16" t="inlineStr">
        <is>
          <t>Direct — dental surgeries</t>
        </is>
      </c>
      <c r="E16" t="inlineStr">
        <is>
          <t>maintenance of dental chairs and clinical equipment</t>
        </is>
      </c>
      <c r="F16" s="3" t="n">
        <v>1000</v>
      </c>
      <c r="G16" s="3" t="n">
        <v>2258.57</v>
      </c>
      <c r="H16" s="3" t="n">
        <v>0</v>
      </c>
      <c r="I16" s="3" t="n">
        <v>830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1350</v>
      </c>
      <c r="P16" s="3" t="n">
        <v>0</v>
      </c>
      <c r="Q16" s="3" t="n">
        <v>200</v>
      </c>
      <c r="R16" s="3" t="n">
        <v>5638.57</v>
      </c>
    </row>
    <row r="17">
      <c r="A17" t="inlineStr">
        <is>
          <t>TB depreciation</t>
        </is>
      </c>
      <c r="B17" t="inlineStr">
        <is>
          <t>Depreciation: Machinery &amp; Equipment</t>
        </is>
      </c>
      <c r="C17" t="inlineStr">
        <is>
          <t>Depreciation</t>
        </is>
      </c>
      <c r="D17" t="inlineStr">
        <is>
          <t>Direct — dental surgeries / imaging</t>
        </is>
      </c>
      <c r="E17" t="inlineStr">
        <is>
          <t>dental chairs, imaging units, autoclaves (2025 charge 126,679.42)</t>
        </is>
      </c>
      <c r="F17" s="3" t="n">
        <v>10556.61</v>
      </c>
      <c r="G17" s="3" t="n">
        <v>10556.61</v>
      </c>
      <c r="H17" s="3" t="n">
        <v>10556.61</v>
      </c>
      <c r="I17" s="3" t="n">
        <v>10556.61</v>
      </c>
      <c r="J17" s="3" t="n">
        <v>10556.61</v>
      </c>
      <c r="K17" s="3" t="n">
        <v>10556.61</v>
      </c>
      <c r="L17" s="3" t="n">
        <v>10556.61</v>
      </c>
      <c r="M17" s="3" t="n">
        <v>10556.61</v>
      </c>
      <c r="N17" s="3" t="n">
        <v>10556.61</v>
      </c>
      <c r="O17" s="3" t="n">
        <v>10556.61</v>
      </c>
      <c r="P17" s="3" t="n">
        <v>10556.61</v>
      </c>
      <c r="Q17" s="3" t="n">
        <v>10556.61</v>
      </c>
      <c r="R17" s="3" t="n">
        <v>126679.32</v>
      </c>
    </row>
    <row r="18">
      <c r="A18" t="inlineStr">
        <is>
          <t>Monthly sheet</t>
        </is>
      </c>
      <c r="B18" t="inlineStr">
        <is>
          <t>Staff Qualification And Education</t>
        </is>
      </c>
      <c r="C18" t="inlineStr">
        <is>
          <t>OHF</t>
        </is>
      </c>
      <c r="D18" t="inlineStr">
        <is>
          <t>Overhead — HR / IT</t>
        </is>
      </c>
      <c r="E18" t="inlineStr">
        <is>
          <t>HR administration: visas, work permits, staff benefits, final settlements, training, licences, information-management (IT) charges</t>
        </is>
      </c>
      <c r="F18" s="3" t="n">
        <v>28462.76</v>
      </c>
      <c r="G18" s="3" t="n">
        <v>13180.32</v>
      </c>
      <c r="H18" s="3" t="n">
        <v>43627.94</v>
      </c>
      <c r="I18" s="3" t="n">
        <v>38711.94</v>
      </c>
      <c r="J18" s="3" t="n">
        <v>55516.92</v>
      </c>
      <c r="K18" s="3" t="n">
        <v>155175.22</v>
      </c>
      <c r="L18" s="3" t="n">
        <v>105124.99</v>
      </c>
      <c r="M18" s="3" t="n">
        <v>98355.2</v>
      </c>
      <c r="N18" s="3" t="n">
        <v>80992.27</v>
      </c>
      <c r="O18" s="3" t="n">
        <v>91500.75999999999</v>
      </c>
      <c r="P18" s="3" t="n">
        <v>46595.58</v>
      </c>
      <c r="Q18" s="3" t="n">
        <v>132188.09</v>
      </c>
      <c r="R18" s="3" t="n">
        <v>889431.99</v>
      </c>
    </row>
    <row r="19">
      <c r="A19" t="inlineStr">
        <is>
          <t>Salary sheet</t>
        </is>
      </c>
      <c r="B19" t="inlineStr">
        <is>
          <t>Salaries &amp; Wages: Indirect /Management</t>
        </is>
      </c>
      <c r="C19" t="inlineStr">
        <is>
          <t>OHF</t>
        </is>
      </c>
      <c r="D19" t="inlineStr">
        <is>
          <t>Overhead — management</t>
        </is>
      </c>
      <c r="E19" t="inlineStr">
        <is>
          <t>clinic management</t>
        </is>
      </c>
      <c r="F19" s="3" t="n">
        <v>20000</v>
      </c>
      <c r="G19" s="3" t="n">
        <v>20000</v>
      </c>
      <c r="H19" s="3" t="n">
        <v>20000</v>
      </c>
      <c r="I19" s="3" t="n">
        <v>28000</v>
      </c>
      <c r="J19" s="3" t="n">
        <v>27000</v>
      </c>
      <c r="K19" s="3" t="n">
        <v>27000</v>
      </c>
      <c r="L19" s="3" t="n">
        <v>28000</v>
      </c>
      <c r="M19" s="3" t="n">
        <v>28000</v>
      </c>
      <c r="N19" s="3" t="n">
        <v>28000</v>
      </c>
      <c r="O19" s="3" t="n">
        <v>28000</v>
      </c>
      <c r="P19" s="3" t="n">
        <v>28000</v>
      </c>
      <c r="Q19" s="3" t="n">
        <v>28000</v>
      </c>
      <c r="R19" s="3" t="n">
        <v>310000</v>
      </c>
    </row>
    <row r="20">
      <c r="A20" t="inlineStr">
        <is>
          <t>Monthly sheet</t>
        </is>
      </c>
      <c r="B20" t="inlineStr">
        <is>
          <t>Legal &amp; Professional Expenses</t>
        </is>
      </c>
      <c r="C20" t="inlineStr">
        <is>
          <t>OHF</t>
        </is>
      </c>
      <c r="D20" t="inlineStr">
        <is>
          <t>Overhead — administration</t>
        </is>
      </c>
      <c r="E20" t="inlineStr">
        <is>
          <t>DOH facility/clinician licences, immigration and visas, trade licence, civil defence, ADHICS/Tasneef, typing/PRO fees</t>
        </is>
      </c>
      <c r="F20" s="3" t="n">
        <v>44349.17</v>
      </c>
      <c r="G20" s="3" t="n">
        <v>12044.19</v>
      </c>
      <c r="H20" s="3" t="n">
        <v>12460.82</v>
      </c>
      <c r="I20" s="3" t="n">
        <v>13383.95</v>
      </c>
      <c r="J20" s="3" t="n">
        <v>20601.3</v>
      </c>
      <c r="K20" s="3" t="n">
        <v>44034.76</v>
      </c>
      <c r="L20" s="3" t="n">
        <v>13033.16</v>
      </c>
      <c r="M20" s="3" t="n">
        <v>22175.9</v>
      </c>
      <c r="N20" s="3" t="n">
        <v>18567.92</v>
      </c>
      <c r="O20" s="3" t="n">
        <v>13508.57</v>
      </c>
      <c r="P20" s="3" t="n">
        <v>21037.68</v>
      </c>
      <c r="Q20" s="3" t="n">
        <v>18372.04</v>
      </c>
      <c r="R20" s="3" t="n">
        <v>253569.46</v>
      </c>
    </row>
    <row r="21">
      <c r="A21" t="inlineStr">
        <is>
          <t>Salary sheet</t>
        </is>
      </c>
      <c r="B21" t="inlineStr">
        <is>
          <t>Salaries &amp; Wages: Indirect/RAP</t>
        </is>
      </c>
      <c r="C21" t="inlineStr">
        <is>
          <t>OHF</t>
        </is>
      </c>
      <c r="D21" t="inlineStr">
        <is>
          <t>Overhead — reception / patient administration</t>
        </is>
      </c>
      <c r="E21" t="inlineStr">
        <is>
          <t>reception and patient-administration staff</t>
        </is>
      </c>
      <c r="F21" s="3" t="n">
        <v>11598</v>
      </c>
      <c r="G21" s="3" t="n">
        <v>12400</v>
      </c>
      <c r="H21" s="3" t="n">
        <v>12232</v>
      </c>
      <c r="I21" s="3" t="n">
        <v>10000</v>
      </c>
      <c r="J21" s="3" t="n">
        <v>14200</v>
      </c>
      <c r="K21" s="3" t="n">
        <v>13700</v>
      </c>
      <c r="L21" s="3" t="n">
        <v>13669</v>
      </c>
      <c r="M21" s="3" t="n">
        <v>14500</v>
      </c>
      <c r="N21" s="3" t="n">
        <v>15000</v>
      </c>
      <c r="O21" s="3" t="n">
        <v>21550</v>
      </c>
      <c r="P21" s="3" t="n">
        <v>21759</v>
      </c>
      <c r="Q21" s="3" t="n">
        <v>22125</v>
      </c>
      <c r="R21" s="3" t="n">
        <v>182733</v>
      </c>
    </row>
    <row r="22">
      <c r="A22" t="inlineStr">
        <is>
          <t>Salary sheet</t>
        </is>
      </c>
      <c r="B22" t="inlineStr">
        <is>
          <t>Salaries &amp; Wages: External</t>
        </is>
      </c>
      <c r="C22" t="inlineStr">
        <is>
          <t>OHF</t>
        </is>
      </c>
      <c r="D22" t="inlineStr">
        <is>
          <t>Overhead — administration</t>
        </is>
      </c>
      <c r="E22" t="inlineStr">
        <is>
          <t>external accountant, drivers, cleaners and other outsourced support staff</t>
        </is>
      </c>
      <c r="F22" s="3" t="n">
        <v>7600</v>
      </c>
      <c r="G22" s="3" t="n">
        <v>12690</v>
      </c>
      <c r="H22" s="3" t="n">
        <v>11520</v>
      </c>
      <c r="I22" s="3" t="n">
        <v>9505</v>
      </c>
      <c r="J22" s="3" t="n">
        <v>7800</v>
      </c>
      <c r="K22" s="3" t="n">
        <v>9070</v>
      </c>
      <c r="L22" s="3" t="n">
        <v>9700</v>
      </c>
      <c r="M22" s="3" t="n">
        <v>11596</v>
      </c>
      <c r="N22" s="3" t="n">
        <v>16600</v>
      </c>
      <c r="O22" s="3" t="n">
        <v>15600</v>
      </c>
      <c r="P22" s="3" t="n">
        <v>15600</v>
      </c>
      <c r="Q22" s="3" t="n">
        <v>15600</v>
      </c>
      <c r="R22" s="3" t="n">
        <v>142881</v>
      </c>
    </row>
    <row r="23">
      <c r="A23" t="inlineStr">
        <is>
          <t>Salary sheet</t>
        </is>
      </c>
      <c r="B23" t="inlineStr">
        <is>
          <t>Salaries &amp; Wages: Indirect /INS</t>
        </is>
      </c>
      <c r="C23" t="inlineStr">
        <is>
          <t>OHF</t>
        </is>
      </c>
      <c r="D23" t="inlineStr">
        <is>
          <t>Overhead — patient administration</t>
        </is>
      </c>
      <c r="E23" t="inlineStr">
        <is>
          <t>insurance claims staff</t>
        </is>
      </c>
      <c r="F23" s="3" t="n">
        <v>4400</v>
      </c>
      <c r="G23" s="3" t="n">
        <v>5000</v>
      </c>
      <c r="H23" s="3" t="n">
        <v>10567</v>
      </c>
      <c r="I23" s="3" t="n">
        <v>11500</v>
      </c>
      <c r="J23" s="3" t="n">
        <v>12000</v>
      </c>
      <c r="K23" s="3" t="n">
        <v>10403</v>
      </c>
      <c r="L23" s="3" t="n">
        <v>11336</v>
      </c>
      <c r="M23" s="3" t="n">
        <v>10871</v>
      </c>
      <c r="N23" s="3" t="n">
        <v>11054</v>
      </c>
      <c r="O23" s="3" t="n">
        <v>11248</v>
      </c>
      <c r="P23" s="3" t="n">
        <v>11234</v>
      </c>
      <c r="Q23" s="3" t="n">
        <v>11982.5</v>
      </c>
      <c r="R23" s="3" t="n">
        <v>121595.5</v>
      </c>
    </row>
    <row r="24">
      <c r="A24" t="inlineStr">
        <is>
          <t>Monthly sheet</t>
        </is>
      </c>
      <c r="B24" t="inlineStr">
        <is>
          <t>Clinic Rent</t>
        </is>
      </c>
      <c r="C24" t="inlineStr">
        <is>
          <t>OHF</t>
        </is>
      </c>
      <c r="D24" t="inlineStr">
        <is>
          <t>Overhead — facility</t>
        </is>
      </c>
      <c r="E24" t="inlineStr">
        <is>
          <t>lease of the clinic premises (unit 1302, 85,000/year), allocated to the Dental bucket by floor space</t>
        </is>
      </c>
      <c r="F24" s="3" t="n">
        <v>7083.33</v>
      </c>
      <c r="G24" s="3" t="n">
        <v>7083.33</v>
      </c>
      <c r="H24" s="3" t="n">
        <v>7083.33</v>
      </c>
      <c r="I24" s="3" t="n">
        <v>7083.33</v>
      </c>
      <c r="J24" s="3" t="n">
        <v>7083.33</v>
      </c>
      <c r="K24" s="3" t="n">
        <v>7083.33</v>
      </c>
      <c r="L24" s="3" t="n">
        <v>7083.33</v>
      </c>
      <c r="M24" s="3" t="n">
        <v>7083.33</v>
      </c>
      <c r="N24" s="3" t="n">
        <v>7083.33</v>
      </c>
      <c r="O24" s="3" t="n">
        <v>7083.33</v>
      </c>
      <c r="P24" s="3" t="n">
        <v>7083.33</v>
      </c>
      <c r="Q24" s="3" t="n">
        <v>7083.33</v>
      </c>
      <c r="R24" s="3" t="n">
        <v>84999.96000000001</v>
      </c>
    </row>
    <row r="25">
      <c r="A25" t="inlineStr">
        <is>
          <t>Monthly sheet</t>
        </is>
      </c>
      <c r="B25" t="inlineStr">
        <is>
          <t>Dues &amp; Subscriptions</t>
        </is>
      </c>
      <c r="C25" t="inlineStr">
        <is>
          <t>OHF</t>
        </is>
      </c>
      <c r="D25" t="inlineStr">
        <is>
          <t>Overhead — IT / administration</t>
        </is>
      </c>
      <c r="E25" t="inlineStr">
        <is>
          <t>software subscriptions, memberships</t>
        </is>
      </c>
      <c r="F25" s="3" t="n">
        <v>5585</v>
      </c>
      <c r="G25" s="3" t="n">
        <v>9203.280000000001</v>
      </c>
      <c r="H25" s="3" t="n">
        <v>8414.280000000001</v>
      </c>
      <c r="I25" s="3" t="n">
        <v>2000</v>
      </c>
      <c r="J25" s="3" t="n">
        <v>6503.7</v>
      </c>
      <c r="K25" s="3" t="n">
        <v>10028.04</v>
      </c>
      <c r="L25" s="3" t="n">
        <v>99.54000000000001</v>
      </c>
      <c r="M25" s="3" t="n">
        <v>1842.43</v>
      </c>
      <c r="N25" s="3" t="n">
        <v>15774.05</v>
      </c>
      <c r="O25" s="3" t="n">
        <v>6523.81</v>
      </c>
      <c r="P25" s="3" t="n">
        <v>8884.18</v>
      </c>
      <c r="Q25" s="3" t="n">
        <v>5667.86</v>
      </c>
      <c r="R25" s="3" t="n">
        <v>80526.17</v>
      </c>
    </row>
    <row r="26">
      <c r="A26" t="inlineStr">
        <is>
          <t>Monthly sheet</t>
        </is>
      </c>
      <c r="B26" t="inlineStr">
        <is>
          <t>Finance Charges</t>
        </is>
      </c>
      <c r="C26" t="inlineStr">
        <is>
          <t>OHF</t>
        </is>
      </c>
      <c r="D26" t="inlineStr">
        <is>
          <t>Overhead — administration</t>
        </is>
      </c>
      <c r="E26" t="inlineStr">
        <is>
          <t>bank and card charges</t>
        </is>
      </c>
      <c r="F26" s="3" t="n">
        <v>6820.88</v>
      </c>
      <c r="G26" s="3" t="n">
        <v>6684.05</v>
      </c>
      <c r="H26" s="3" t="n">
        <v>9269.73</v>
      </c>
      <c r="I26" s="3" t="n">
        <v>5865.9</v>
      </c>
      <c r="J26" s="3" t="n">
        <v>5876.86</v>
      </c>
      <c r="K26" s="3" t="n">
        <v>4410.88</v>
      </c>
      <c r="L26" s="3" t="n">
        <v>3220.43</v>
      </c>
      <c r="M26" s="3" t="n">
        <v>4136.27</v>
      </c>
      <c r="N26" s="3" t="n">
        <v>4080.58</v>
      </c>
      <c r="O26" s="3" t="n">
        <v>4032.3</v>
      </c>
      <c r="P26" s="3" t="n">
        <v>4905.68</v>
      </c>
      <c r="Q26" s="3" t="n">
        <v>3702.29</v>
      </c>
      <c r="R26" s="3" t="n">
        <v>63005.85</v>
      </c>
    </row>
    <row r="27">
      <c r="A27" t="inlineStr">
        <is>
          <t>Salary sheet</t>
        </is>
      </c>
      <c r="B27" t="inlineStr">
        <is>
          <t>Salaries &amp; Wages: Indirect /Purchase</t>
        </is>
      </c>
      <c r="C27" t="inlineStr">
        <is>
          <t>OHF</t>
        </is>
      </c>
      <c r="D27" t="inlineStr">
        <is>
          <t>Overhead — administration</t>
        </is>
      </c>
      <c r="E27" t="inlineStr">
        <is>
          <t>purchasing</t>
        </is>
      </c>
      <c r="F27" s="3" t="n">
        <v>5000</v>
      </c>
      <c r="G27" s="3" t="n">
        <v>5000</v>
      </c>
      <c r="H27" s="3" t="n">
        <v>5000</v>
      </c>
      <c r="I27" s="3" t="n">
        <v>5000</v>
      </c>
      <c r="J27" s="3" t="n">
        <v>4458</v>
      </c>
      <c r="K27" s="3" t="n">
        <v>5000</v>
      </c>
      <c r="L27" s="3" t="n">
        <v>5000</v>
      </c>
      <c r="M27" s="3" t="n">
        <v>5000</v>
      </c>
      <c r="N27" s="3" t="n">
        <v>5000</v>
      </c>
      <c r="O27" s="3" t="n">
        <v>5000</v>
      </c>
      <c r="P27" s="3" t="n">
        <v>4758</v>
      </c>
      <c r="Q27" s="3" t="n">
        <v>4958.33</v>
      </c>
      <c r="R27" s="3" t="n">
        <v>59174.33</v>
      </c>
    </row>
    <row r="28">
      <c r="A28" t="inlineStr">
        <is>
          <t>Monthly sheet</t>
        </is>
      </c>
      <c r="B28" t="inlineStr">
        <is>
          <t>Utilities Expenses</t>
        </is>
      </c>
      <c r="C28" t="inlineStr">
        <is>
          <t>OHF</t>
        </is>
      </c>
      <c r="D28" t="inlineStr">
        <is>
          <t>Overhead — facility</t>
        </is>
      </c>
      <c r="E28" t="inlineStr">
        <is>
          <t>ADDC electricity/water, Etisalat telephone and internet</t>
        </is>
      </c>
      <c r="F28" s="3" t="n">
        <v>4780.25</v>
      </c>
      <c r="G28" s="3" t="n">
        <v>4568.37</v>
      </c>
      <c r="H28" s="3" t="n">
        <v>4510.14</v>
      </c>
      <c r="I28" s="3" t="n">
        <v>4191.56</v>
      </c>
      <c r="J28" s="3" t="n">
        <v>8334.92</v>
      </c>
      <c r="K28" s="3" t="n">
        <v>4350.26</v>
      </c>
      <c r="L28" s="3" t="n">
        <v>4242.75</v>
      </c>
      <c r="M28" s="3" t="n">
        <v>4051.47</v>
      </c>
      <c r="N28" s="3" t="n">
        <v>4127.37</v>
      </c>
      <c r="O28" s="3" t="n">
        <v>4358.95</v>
      </c>
      <c r="P28" s="3" t="n">
        <v>4242.9</v>
      </c>
      <c r="Q28" s="3" t="n">
        <v>4322.62</v>
      </c>
      <c r="R28" s="3" t="n">
        <v>56081.56</v>
      </c>
    </row>
    <row r="29">
      <c r="A29" t="inlineStr">
        <is>
          <t>Monthly sheet</t>
        </is>
      </c>
      <c r="B29" t="inlineStr">
        <is>
          <t>Marketing</t>
        </is>
      </c>
      <c r="C29" t="inlineStr">
        <is>
          <t>OHF</t>
        </is>
      </c>
      <c r="D29" t="inlineStr">
        <is>
          <t>Overhead — administration</t>
        </is>
      </c>
      <c r="E29" t="inlineStr">
        <is>
          <t>Meta/WhatsApp API, Adobe, promotions</t>
        </is>
      </c>
      <c r="F29" s="3" t="n">
        <v>5820.11</v>
      </c>
      <c r="G29" s="3" t="n">
        <v>2380.86</v>
      </c>
      <c r="H29" s="3" t="n">
        <v>4382.51</v>
      </c>
      <c r="I29" s="3" t="n">
        <v>4044.86</v>
      </c>
      <c r="J29" s="3" t="n">
        <v>4998.58</v>
      </c>
      <c r="K29" s="3" t="n">
        <v>8392.940000000001</v>
      </c>
      <c r="L29" s="3" t="n">
        <v>3713.11</v>
      </c>
      <c r="M29" s="3" t="n">
        <v>5896.89</v>
      </c>
      <c r="N29" s="3" t="n">
        <v>2707.23</v>
      </c>
      <c r="O29" s="3" t="n">
        <v>1973.75</v>
      </c>
      <c r="P29" s="3" t="n">
        <v>8600.299999999999</v>
      </c>
      <c r="Q29" s="3" t="n">
        <v>2478.75</v>
      </c>
      <c r="R29" s="3" t="n">
        <v>55389.89</v>
      </c>
    </row>
    <row r="30">
      <c r="A30" t="inlineStr">
        <is>
          <t>Salary sheet</t>
        </is>
      </c>
      <c r="B30" t="inlineStr">
        <is>
          <t>Salaries &amp; Wages: Indirect/Accounts</t>
        </is>
      </c>
      <c r="C30" t="inlineStr">
        <is>
          <t>OHF</t>
        </is>
      </c>
      <c r="D30" t="inlineStr">
        <is>
          <t>Overhead — administration</t>
        </is>
      </c>
      <c r="E30" t="inlineStr">
        <is>
          <t>accounts</t>
        </is>
      </c>
      <c r="F30" s="3" t="n">
        <v>4645</v>
      </c>
      <c r="G30" s="3" t="n">
        <v>3355</v>
      </c>
      <c r="H30" s="3" t="n">
        <v>4500</v>
      </c>
      <c r="I30" s="3" t="n">
        <v>4000</v>
      </c>
      <c r="J30" s="3" t="n">
        <v>3956</v>
      </c>
      <c r="K30" s="3" t="n">
        <v>4391</v>
      </c>
      <c r="L30" s="3" t="n">
        <v>4938</v>
      </c>
      <c r="M30" s="3" t="n">
        <v>3975</v>
      </c>
      <c r="N30" s="3" t="n">
        <v>4090</v>
      </c>
      <c r="O30" s="3" t="n">
        <v>4016</v>
      </c>
      <c r="P30" s="3" t="n">
        <v>4658</v>
      </c>
      <c r="Q30" s="3" t="n">
        <v>4656.25</v>
      </c>
      <c r="R30" s="3" t="n">
        <v>51180.25</v>
      </c>
    </row>
    <row r="31">
      <c r="A31" t="inlineStr">
        <is>
          <t>Monthly sheet</t>
        </is>
      </c>
      <c r="B31" t="inlineStr">
        <is>
          <t>Insurance</t>
        </is>
      </c>
      <c r="C31" t="inlineStr">
        <is>
          <t>OHF</t>
        </is>
      </c>
      <c r="D31" t="inlineStr">
        <is>
          <t>Overhead — administration</t>
        </is>
      </c>
      <c r="E31" t="inlineStr">
        <is>
          <t>prepaid insurance amortised (staff medical insurance, Daman)</t>
        </is>
      </c>
      <c r="F31" s="3" t="n">
        <v>5939.4</v>
      </c>
      <c r="G31" s="3" t="n">
        <v>5974.65</v>
      </c>
      <c r="H31" s="3" t="n">
        <v>5974.65</v>
      </c>
      <c r="I31" s="3" t="n">
        <v>5974.65</v>
      </c>
      <c r="J31" s="3" t="n">
        <v>5995.8</v>
      </c>
      <c r="K31" s="3" t="n">
        <v>5995.8</v>
      </c>
      <c r="L31" s="3" t="n">
        <v>4564.01</v>
      </c>
      <c r="M31" s="3" t="n">
        <v>1833.1</v>
      </c>
      <c r="N31" s="3" t="n">
        <v>1974.43</v>
      </c>
      <c r="O31" s="3" t="n">
        <v>1974.43</v>
      </c>
      <c r="P31" s="3" t="n">
        <v>2038.43</v>
      </c>
      <c r="Q31" s="3" t="n">
        <v>2169.92</v>
      </c>
      <c r="R31" s="3" t="n">
        <v>50409.27</v>
      </c>
    </row>
    <row r="32">
      <c r="A32" t="inlineStr">
        <is>
          <t>Monthly sheet</t>
        </is>
      </c>
      <c r="B32" t="inlineStr">
        <is>
          <t>Repair &amp; Maintenance Expenses</t>
        </is>
      </c>
      <c r="C32" t="inlineStr">
        <is>
          <t>OHF</t>
        </is>
      </c>
      <c r="D32" t="inlineStr">
        <is>
          <t>Overhead — facility</t>
        </is>
      </c>
      <c r="E32" t="inlineStr">
        <is>
          <t>general premises maintenance supplies and works</t>
        </is>
      </c>
      <c r="F32" s="3" t="n">
        <v>3948.75</v>
      </c>
      <c r="G32" s="3" t="n">
        <v>701.2</v>
      </c>
      <c r="H32" s="3" t="n">
        <v>1519</v>
      </c>
      <c r="I32" s="3" t="n">
        <v>2904.65</v>
      </c>
      <c r="J32" s="3" t="n">
        <v>418.3</v>
      </c>
      <c r="K32" s="3" t="n">
        <v>3500</v>
      </c>
      <c r="L32" s="3" t="n">
        <v>579.13</v>
      </c>
      <c r="M32" s="3" t="n">
        <v>3615.85</v>
      </c>
      <c r="N32" s="3" t="n">
        <v>4075.55</v>
      </c>
      <c r="O32" s="3" t="n">
        <v>4223.2</v>
      </c>
      <c r="P32" s="3" t="n">
        <v>2824</v>
      </c>
      <c r="Q32" s="3" t="n">
        <v>704.67</v>
      </c>
      <c r="R32" s="3" t="n">
        <v>29014.3</v>
      </c>
    </row>
    <row r="33">
      <c r="A33" t="inlineStr">
        <is>
          <t>Monthly sheet</t>
        </is>
      </c>
      <c r="B33" t="inlineStr">
        <is>
          <t>Travelling &amp; Transportation</t>
        </is>
      </c>
      <c r="C33" t="inlineStr">
        <is>
          <t>OHF</t>
        </is>
      </c>
      <c r="D33" t="inlineStr">
        <is>
          <t>Overhead — administration</t>
        </is>
      </c>
      <c r="E33" t="inlineStr">
        <is>
          <t>taxis, parking, petrol, car wash</t>
        </is>
      </c>
      <c r="F33" s="3" t="n">
        <v>1620.78</v>
      </c>
      <c r="G33" s="3" t="n">
        <v>2671.44</v>
      </c>
      <c r="H33" s="3" t="n">
        <v>1406.51</v>
      </c>
      <c r="I33" s="3" t="n">
        <v>2252.91</v>
      </c>
      <c r="J33" s="3" t="n">
        <v>2285.53</v>
      </c>
      <c r="K33" s="3" t="n">
        <v>1225.52</v>
      </c>
      <c r="L33" s="3" t="n">
        <v>5340.97</v>
      </c>
      <c r="M33" s="3" t="n">
        <v>1464.2</v>
      </c>
      <c r="N33" s="3" t="n">
        <v>1523</v>
      </c>
      <c r="O33" s="3" t="n">
        <v>3348</v>
      </c>
      <c r="P33" s="3" t="n">
        <v>2184.07</v>
      </c>
      <c r="Q33" s="3" t="n">
        <v>2346.5</v>
      </c>
      <c r="R33" s="3" t="n">
        <v>27669.43</v>
      </c>
    </row>
    <row r="34">
      <c r="A34" t="inlineStr">
        <is>
          <t>Monthly sheet</t>
        </is>
      </c>
      <c r="B34" t="inlineStr">
        <is>
          <t>Fines</t>
        </is>
      </c>
      <c r="C34" t="inlineStr">
        <is>
          <t>OHF</t>
        </is>
      </c>
      <c r="D34" t="inlineStr">
        <is>
          <t>Overhead — administration</t>
        </is>
      </c>
      <c r="E34" t="inlineStr">
        <is>
          <t>regulatory and traffic fines (kept: Standard 3.1.1 takes all GL expenses except balance-sheet items)</t>
        </is>
      </c>
      <c r="F34" s="3" t="n">
        <v>1635</v>
      </c>
      <c r="G34" s="3" t="n">
        <v>263</v>
      </c>
      <c r="H34" s="3" t="n">
        <v>0</v>
      </c>
      <c r="I34" s="3" t="n">
        <v>1278</v>
      </c>
      <c r="J34" s="3" t="n">
        <v>0</v>
      </c>
      <c r="K34" s="3" t="n">
        <v>1031</v>
      </c>
      <c r="L34" s="3" t="n">
        <v>0</v>
      </c>
      <c r="M34" s="3" t="n">
        <v>8435.120000000001</v>
      </c>
      <c r="N34" s="3" t="n">
        <v>1503</v>
      </c>
      <c r="O34" s="3" t="n">
        <v>0</v>
      </c>
      <c r="P34" s="3" t="n">
        <v>2242.91</v>
      </c>
      <c r="Q34" s="3" t="n">
        <v>625</v>
      </c>
      <c r="R34" s="3" t="n">
        <v>17013.03</v>
      </c>
    </row>
    <row r="35">
      <c r="A35" t="inlineStr">
        <is>
          <t>Monthly sheet</t>
        </is>
      </c>
      <c r="B35" t="inlineStr">
        <is>
          <t>Pantry</t>
        </is>
      </c>
      <c r="C35" t="inlineStr">
        <is>
          <t>OHF</t>
        </is>
      </c>
      <c r="D35" t="inlineStr">
        <is>
          <t>Overhead — back office</t>
        </is>
      </c>
      <c r="E35" t="inlineStr">
        <is>
          <t>pantry, water, cleaning products (staff and patient refreshments)</t>
        </is>
      </c>
      <c r="F35" s="3" t="n">
        <v>1576.08</v>
      </c>
      <c r="G35" s="3" t="n">
        <v>1074.12</v>
      </c>
      <c r="H35" s="3" t="n">
        <v>748.9299999999999</v>
      </c>
      <c r="I35" s="3" t="n">
        <v>1483.1</v>
      </c>
      <c r="J35" s="3" t="n">
        <v>705.55</v>
      </c>
      <c r="K35" s="3" t="n">
        <v>1314.1</v>
      </c>
      <c r="L35" s="3" t="n">
        <v>1310.92</v>
      </c>
      <c r="M35" s="3" t="n">
        <v>1821.61</v>
      </c>
      <c r="N35" s="3" t="n">
        <v>1056.15</v>
      </c>
      <c r="O35" s="3" t="n">
        <v>1638.4</v>
      </c>
      <c r="P35" s="3" t="n">
        <v>1660.35</v>
      </c>
      <c r="Q35" s="3" t="n">
        <v>752.78</v>
      </c>
      <c r="R35" s="3" t="n">
        <v>15142.09</v>
      </c>
    </row>
    <row r="36">
      <c r="A36" t="inlineStr">
        <is>
          <t>Monthly sheet</t>
        </is>
      </c>
      <c r="B36" t="inlineStr">
        <is>
          <t>Other Expenses</t>
        </is>
      </c>
      <c r="C36" t="inlineStr">
        <is>
          <t>OHF</t>
        </is>
      </c>
      <c r="D36" t="inlineStr">
        <is>
          <t>Overhead — administration</t>
        </is>
      </c>
      <c r="E36" t="inlineStr">
        <is>
          <t>courier, flags/badges, miscellaneous</t>
        </is>
      </c>
      <c r="F36" s="3" t="n">
        <v>2138.76</v>
      </c>
      <c r="G36" s="3" t="n">
        <v>1089.69</v>
      </c>
      <c r="H36" s="3" t="n">
        <v>1123.01</v>
      </c>
      <c r="I36" s="3" t="n">
        <v>3789.07</v>
      </c>
      <c r="J36" s="3" t="n">
        <v>1320.49</v>
      </c>
      <c r="K36" s="3" t="n">
        <v>989.6799999999999</v>
      </c>
      <c r="L36" s="3" t="n">
        <v>1127.98</v>
      </c>
      <c r="M36" s="3" t="n">
        <v>1253.75</v>
      </c>
      <c r="N36" s="3" t="n">
        <v>508.94</v>
      </c>
      <c r="O36" s="3" t="n">
        <v>264.83</v>
      </c>
      <c r="P36" s="3" t="n">
        <v>316.45</v>
      </c>
      <c r="Q36" s="3" t="n">
        <v>88.53</v>
      </c>
      <c r="R36" s="3" t="n">
        <v>14011.18</v>
      </c>
    </row>
    <row r="37">
      <c r="A37" t="inlineStr">
        <is>
          <t>Monthly sheet</t>
        </is>
      </c>
      <c r="B37" t="inlineStr">
        <is>
          <t>Office Supplies</t>
        </is>
      </c>
      <c r="C37" t="inlineStr">
        <is>
          <t>OHF</t>
        </is>
      </c>
      <c r="D37" t="inlineStr">
        <is>
          <t>Overhead — administration</t>
        </is>
      </c>
      <c r="E37" t="inlineStr">
        <is>
          <t>stationery, printer ink, newspapers</t>
        </is>
      </c>
      <c r="F37" s="3" t="n">
        <v>783.13</v>
      </c>
      <c r="G37" s="3" t="n">
        <v>449.05</v>
      </c>
      <c r="H37" s="3" t="n">
        <v>373</v>
      </c>
      <c r="I37" s="3" t="n">
        <v>1618.98</v>
      </c>
      <c r="J37" s="3" t="n">
        <v>404.77</v>
      </c>
      <c r="K37" s="3" t="n">
        <v>1228.67</v>
      </c>
      <c r="L37" s="3" t="n">
        <v>340.61</v>
      </c>
      <c r="M37" s="3" t="n">
        <v>481.01</v>
      </c>
      <c r="N37" s="3" t="n">
        <v>1156.65</v>
      </c>
      <c r="O37" s="3" t="n">
        <v>440.57</v>
      </c>
      <c r="P37" s="3" t="n">
        <v>237.4</v>
      </c>
      <c r="Q37" s="3" t="n">
        <v>375.55</v>
      </c>
      <c r="R37" s="3" t="n">
        <v>7889.39</v>
      </c>
    </row>
    <row r="38">
      <c r="A38" t="inlineStr">
        <is>
          <t>Monthly sheet</t>
        </is>
      </c>
      <c r="B38" t="inlineStr">
        <is>
          <t>Claim Rejection</t>
        </is>
      </c>
      <c r="C38" t="inlineStr">
        <is>
          <t>OHF</t>
        </is>
      </c>
      <c r="D38" t="inlineStr">
        <is>
          <t>Overhead — patient administration</t>
        </is>
      </c>
      <c r="E38" t="inlineStr">
        <is>
          <t>written-off rejected claims</t>
        </is>
      </c>
      <c r="F38" s="3" t="n">
        <v>0</v>
      </c>
      <c r="G38" s="3" t="n">
        <v>0</v>
      </c>
      <c r="H38" s="3" t="n">
        <v>844.2</v>
      </c>
      <c r="I38" s="3" t="n">
        <v>0</v>
      </c>
      <c r="J38" s="3" t="n">
        <v>0</v>
      </c>
      <c r="K38" s="3" t="n">
        <v>245</v>
      </c>
      <c r="L38" s="3" t="n">
        <v>0</v>
      </c>
      <c r="M38" s="3" t="n">
        <v>0</v>
      </c>
      <c r="N38" s="3" t="n">
        <v>1005</v>
      </c>
      <c r="O38" s="3" t="n">
        <v>-32</v>
      </c>
      <c r="P38" s="3" t="n">
        <v>1235</v>
      </c>
      <c r="Q38" s="3" t="n">
        <v>105</v>
      </c>
      <c r="R38" s="3" t="n">
        <v>3402.2</v>
      </c>
    </row>
    <row r="39">
      <c r="A39" t="inlineStr">
        <is>
          <t>Stock movement</t>
        </is>
      </c>
      <c r="B39" t="inlineStr">
        <is>
          <t>Cost of Goods Sold (M01): OHF</t>
        </is>
      </c>
      <c r="C39" t="inlineStr">
        <is>
          <t>OHF</t>
        </is>
      </c>
      <c r="D39" t="inlineStr">
        <is>
          <t>Overhead — back office</t>
        </is>
      </c>
      <c r="E39" t="inlineStr">
        <is>
          <t>pantry and stationery issued from stock</t>
        </is>
      </c>
      <c r="F39" s="3" t="n">
        <v>1007.8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1007.8</v>
      </c>
    </row>
    <row r="40">
      <c r="A40" t="inlineStr">
        <is>
          <t>Salary sheet</t>
        </is>
      </c>
      <c r="B40" t="inlineStr">
        <is>
          <t>Salaries &amp; Wages: Indirect it</t>
        </is>
      </c>
      <c r="C40" t="inlineStr">
        <is>
          <t>OHF</t>
        </is>
      </c>
      <c r="D40" t="inlineStr">
        <is>
          <t>Overhead — IT</t>
        </is>
      </c>
      <c r="E40" t="inlineStr">
        <is>
          <t>IT</t>
        </is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</row>
    <row r="41">
      <c r="A41" t="inlineStr">
        <is>
          <t>Salary sheet</t>
        </is>
      </c>
      <c r="B41" t="inlineStr">
        <is>
          <t>Salaries &amp; Wages: Indirect/ Hr</t>
        </is>
      </c>
      <c r="C41" t="inlineStr">
        <is>
          <t>OHF</t>
        </is>
      </c>
      <c r="D41" t="inlineStr">
        <is>
          <t>Overhead — HR</t>
        </is>
      </c>
      <c r="E41" t="inlineStr">
        <is>
          <t>HR</t>
        </is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</row>
    <row r="42">
      <c r="A42" t="inlineStr">
        <is>
          <t>TB depreciation</t>
        </is>
      </c>
      <c r="B42" t="inlineStr">
        <is>
          <t>Depreciation: furniture, office equipment, computers, software</t>
        </is>
      </c>
      <c r="C42" t="inlineStr">
        <is>
          <t>OHDepreciation</t>
        </is>
      </c>
      <c r="D42" t="inlineStr">
        <is>
          <t>Overhead — facility / IT</t>
        </is>
      </c>
      <c r="E42" t="inlineStr">
        <is>
          <t>fit-out, office equipment, computers, software (2025 charge 30,297.55)</t>
        </is>
      </c>
      <c r="F42" s="3" t="n">
        <v>2524.8</v>
      </c>
      <c r="G42" s="3" t="n">
        <v>2524.8</v>
      </c>
      <c r="H42" s="3" t="n">
        <v>2524.8</v>
      </c>
      <c r="I42" s="3" t="n">
        <v>2524.8</v>
      </c>
      <c r="J42" s="3" t="n">
        <v>2524.8</v>
      </c>
      <c r="K42" s="3" t="n">
        <v>2524.8</v>
      </c>
      <c r="L42" s="3" t="n">
        <v>2524.8</v>
      </c>
      <c r="M42" s="3" t="n">
        <v>2524.8</v>
      </c>
      <c r="N42" s="3" t="n">
        <v>2524.8</v>
      </c>
      <c r="O42" s="3" t="n">
        <v>2524.8</v>
      </c>
      <c r="P42" s="3" t="n">
        <v>2524.8</v>
      </c>
      <c r="Q42" s="3" t="n">
        <v>2524.8</v>
      </c>
      <c r="R42" s="3" t="n">
        <v>30297.6</v>
      </c>
    </row>
    <row r="43">
      <c r="A43" t="inlineStr">
        <is>
          <t>Monthly sheet</t>
        </is>
      </c>
      <c r="B43" t="inlineStr">
        <is>
          <t>Third Party &amp; Professional Services</t>
        </is>
      </c>
      <c r="C43" t="inlineStr">
        <is>
          <t>OHC</t>
        </is>
      </c>
      <c r="D43" t="inlineStr">
        <is>
          <t>Overhead — shared services</t>
        </is>
      </c>
      <c r="E43" t="inlineStr">
        <is>
          <t>MySmyle Company EMR subscription, management consultancy and IT services (25,000/month) + Calibrate/Platform Technologies: services charged by a sister company = corporate/shared-services overhead</t>
        </is>
      </c>
      <c r="F43" s="3" t="n">
        <v>8317</v>
      </c>
      <c r="G43" s="3" t="n">
        <v>37300</v>
      </c>
      <c r="H43" s="3" t="n">
        <v>62270</v>
      </c>
      <c r="I43" s="3" t="n">
        <v>66480.95</v>
      </c>
      <c r="J43" s="3" t="n">
        <v>2500</v>
      </c>
      <c r="K43" s="3" t="n">
        <v>37375.73</v>
      </c>
      <c r="L43" s="3" t="n">
        <v>25000</v>
      </c>
      <c r="M43" s="3" t="n">
        <v>27500</v>
      </c>
      <c r="N43" s="3" t="n">
        <v>28000</v>
      </c>
      <c r="O43" s="3" t="n">
        <v>25500</v>
      </c>
      <c r="P43" s="3" t="n">
        <v>25000</v>
      </c>
      <c r="Q43" s="3" t="n">
        <v>25104.5</v>
      </c>
      <c r="R43" s="3" t="n">
        <v>370348.18</v>
      </c>
    </row>
    <row r="44"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</row>
    <row r="45">
      <c r="A45" s="4" t="inlineStr"/>
      <c r="B45" s="4" t="inlineStr">
        <is>
          <t>TOTAL mapped</t>
        </is>
      </c>
      <c r="C45" s="4" t="inlineStr"/>
      <c r="D45" s="4" t="inlineStr"/>
      <c r="E45" s="4" t="inlineStr"/>
      <c r="F45" s="5" t="n">
        <v>511302.3</v>
      </c>
      <c r="G45" s="5" t="n">
        <v>532341.65</v>
      </c>
      <c r="H45" s="5" t="n">
        <v>606868.87</v>
      </c>
      <c r="I45" s="5" t="n">
        <v>518123.67</v>
      </c>
      <c r="J45" s="5" t="n">
        <v>488066.69</v>
      </c>
      <c r="K45" s="5" t="n">
        <v>616494.08</v>
      </c>
      <c r="L45" s="5" t="n">
        <v>480166.81</v>
      </c>
      <c r="M45" s="5" t="n">
        <v>526990.09</v>
      </c>
      <c r="N45" s="5" t="n">
        <v>509542.04</v>
      </c>
      <c r="O45" s="5" t="n">
        <v>546725.96</v>
      </c>
      <c r="P45" s="5" t="n">
        <v>493746.03</v>
      </c>
      <c r="Q45" s="5" t="n">
        <v>623033.72</v>
      </c>
      <c r="R45" s="5" t="n">
        <v>6453401.91</v>
      </c>
    </row>
    <row r="46">
      <c r="A46" s="4" t="inlineStr"/>
      <c r="B46" s="4" t="inlineStr">
        <is>
          <t>Ledger (locked)</t>
        </is>
      </c>
      <c r="C46" s="4" t="inlineStr"/>
      <c r="D46" s="4" t="inlineStr"/>
      <c r="E46" s="4" t="inlineStr"/>
      <c r="F46" s="5" t="n">
        <v>511302.3</v>
      </c>
      <c r="G46" s="5" t="n">
        <v>532341.65</v>
      </c>
      <c r="H46" s="5" t="n">
        <v>606868.87</v>
      </c>
      <c r="I46" s="5" t="n">
        <v>518123.67</v>
      </c>
      <c r="J46" s="5" t="n">
        <v>488066.69</v>
      </c>
      <c r="K46" s="5" t="n">
        <v>616494.09</v>
      </c>
      <c r="L46" s="5" t="n">
        <v>480166.82</v>
      </c>
      <c r="M46" s="5" t="n">
        <v>526990.1</v>
      </c>
      <c r="N46" s="5" t="n">
        <v>509542.05</v>
      </c>
      <c r="O46" s="5" t="n">
        <v>546725.98</v>
      </c>
      <c r="P46" s="5" t="n">
        <v>493746.03</v>
      </c>
      <c r="Q46" s="5" t="n">
        <v>623033.73</v>
      </c>
      <c r="R46" s="5" t="n">
        <v>6453401.98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4" t="inlineStr">
        <is>
          <t>Mapping built from Arjun's FY2025 financial workbook (Monthly P&amp;L, Salary, Consumption, TB). Points to confirm:</t>
        </is>
      </c>
    </row>
    <row r="2">
      <c r="A2" t="inlineStr">
        <is>
          <t>Q1. Third Party &amp; Professional Services (370,348.18) is mapped to OHC because it is MySmyle Company's EMR/management/IT recharge plus Calibrate and Platform Technologies. If you prefer OHF (no 'corporate office'), say so: one-line change, overhead ratio unchanged.</t>
        </is>
      </c>
    </row>
    <row r="3">
      <c r="A3" t="inlineStr">
        <is>
          <t>Q2. Staff Qualification And Education (889,431.99) is mapped to OHF (HR administration and IT). If part of it is staff on-costs of the dentists and nurses (visas, licences, benefits), that part belongs with SWDoc/SWNurs and the overhead ratio falls (to roughly 34% if all of it were on-costs).</t>
        </is>
      </c>
    </row>
    <row r="4">
      <c r="A4" t="inlineStr">
        <is>
          <t>Q3. Prostheses, Pharmacy and Imaging cost types are 0: implants, anaesthetics and imaging sensors are bought inside 'Consumables' (MS). If the purchase ledger can separate them, they should move to those cost types.</t>
        </is>
      </c>
    </row>
    <row r="5">
      <c r="A5" t="inlineStr">
        <is>
          <t>Q4. Fines (17,013.03), Claim Rejection (3,402.20) and Finance Charges (63,005.85) are kept in OHF because the locked ledger includes them. The Standard takes all GL expenses except balance-sheet items; confirm you want them in.</t>
        </is>
      </c>
    </row>
    <row r="6">
      <c r="A6" t="inlineStr">
        <is>
          <t>Q5. Cost-centre classes follow the cash-ledger coding (clinics 01-06, CSSD 07, OPG 08, LAB 09 = direct; reception 10-11, back office 12, server room 13 = overhead).</t>
        </is>
      </c>
    </row>
    <row r="8">
      <c r="A8" t="inlineStr">
        <is>
          <t>Overhead ratio by month: 01 36.3%, 02 31.1%, 03 38.0%, 04 44.7%, 05 39.8%, 06 58.1%, 07 52.1%, 08 50.6%, 09 50.3%, 10 46.5%, 11 46.1%, 12 47.5%; FY2025 45.2% (DOH band 20% to under 50%)</t>
        </is>
      </c>
    </row>
    <row r="10">
      <c r="A10" t="inlineStr">
        <is>
          <t>Reconciliation notes:</t>
        </is>
      </c>
    </row>
    <row r="11">
      <c r="A11" t="inlineStr">
        <is>
          <t>Cost of Goods Sold month 2: split 89248.81 != Monthly 89248.80</t>
        </is>
      </c>
    </row>
    <row r="12">
      <c r="A12" t="inlineStr">
        <is>
          <t>Cost of Goods Sold month 3: split 104387.41 != Monthly 104387.40</t>
        </is>
      </c>
    </row>
    <row r="13">
      <c r="A13" t="inlineStr">
        <is>
          <t>Cost of Goods Sold month 4: split 98837.41 != Monthly 98837.40</t>
        </is>
      </c>
    </row>
    <row r="14">
      <c r="A14" t="inlineStr">
        <is>
          <t>Cost of Goods Sold month 5: split 82250.54 != Monthly 82250.53</t>
        </is>
      </c>
    </row>
    <row r="15">
      <c r="A15" t="inlineStr">
        <is>
          <t>month 6: mapped total 616494.08 != ledger 616494.09 (-0.01)</t>
        </is>
      </c>
    </row>
    <row r="16">
      <c r="A16" t="inlineStr">
        <is>
          <t>month 7: mapped total 480166.81 != ledger 480166.82 (-0.01)</t>
        </is>
      </c>
    </row>
    <row r="17">
      <c r="A17" t="inlineStr">
        <is>
          <t>month 8: mapped total 526990.09 != ledger 526990.10 (-0.01)</t>
        </is>
      </c>
    </row>
    <row r="18">
      <c r="A18" t="inlineStr">
        <is>
          <t>month 9: mapped total 509542.04 != ledger 509542.05 (-0.01)</t>
        </is>
      </c>
    </row>
    <row r="19">
      <c r="A19" t="inlineStr">
        <is>
          <t>month 10: mapped total 546725.96 != ledger 546725.98 (-0.02)</t>
        </is>
      </c>
    </row>
    <row r="20">
      <c r="A20" t="inlineStr">
        <is>
          <t>month 12: mapped total 623033.72 != ledger 623033.73 (-0.01)</t>
        </is>
      </c>
    </row>
    <row r="21">
      <c r="A21" t="inlineStr">
        <is>
          <t>month 6: +0.01 added to OHF to tie to the locked ledger</t>
        </is>
      </c>
    </row>
    <row r="22">
      <c r="A22" t="inlineStr">
        <is>
          <t>month 7: +0.01 added to OHF to tie to the locked ledger</t>
        </is>
      </c>
    </row>
    <row r="23">
      <c r="A23" t="inlineStr">
        <is>
          <t>month 8: +0.01 added to OHF to tie to the locked ledger</t>
        </is>
      </c>
    </row>
    <row r="24">
      <c r="A24" t="inlineStr">
        <is>
          <t>month 9: +0.01 added to OHF to tie to the locked ledger</t>
        </is>
      </c>
    </row>
    <row r="25">
      <c r="A25" t="inlineStr">
        <is>
          <t>month 10: +0.02 added to OHF to tie to the locked ledger</t>
        </is>
      </c>
    </row>
    <row r="26">
      <c r="A26" t="inlineStr">
        <is>
          <t>month 12: +0.01 added to OHF to tie to the locked ledger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4" t="inlineStr">
        <is>
          <t>Stock movement -&gt; cost type (usage net of internal returns; exchanges cancel; external lab from the P&amp;L)</t>
        </is>
      </c>
    </row>
    <row r="2">
      <c r="A2" t="inlineStr">
        <is>
          <t>Movement Jan 2025: Laboratory 06- Laboratory- (LAB)                           01- Lab Devices, Instruments, &amp; Accessories           130.00</t>
        </is>
      </c>
    </row>
    <row r="3">
      <c r="A3" t="inlineStr">
        <is>
          <t>Movement Jan 2025: Laboratory 06- Laboratory- (LAB)                           02- Dental Blocks                                   3,889.75</t>
        </is>
      </c>
    </row>
    <row r="4">
      <c r="A4" t="inlineStr">
        <is>
          <t>Movement Jan 2025: Laboratory 06- Laboratory- (LAB)                           03- Dental Blanks                                   1,875.00</t>
        </is>
      </c>
    </row>
    <row r="5">
      <c r="A5" t="inlineStr">
        <is>
          <t>Movement Jan 2025: Laboratory 06- Laboratory- (LAB)                           04- 3D Inks &amp; Supplies                              5,000.00</t>
        </is>
      </c>
    </row>
    <row r="6">
      <c r="A6" t="inlineStr">
        <is>
          <t>Movement Jan 2025: Laboratory 06- Laboratory- (LAB)                           05- Vacuum Machine Plates &amp; Supplies                   58.19</t>
        </is>
      </c>
    </row>
    <row r="7">
      <c r="A7" t="inlineStr">
        <is>
          <t>Movement Jan 2025: Laboratory 06- Laboratory- (LAB)                           06- Dental Stone, Stains &amp; Wax                        985.00</t>
        </is>
      </c>
    </row>
    <row r="8">
      <c r="A8" t="inlineStr">
        <is>
          <t>Movement Jan 2025: Laboratory 06- Laboratory- (LAB)                           07- Lab Drilling / Milling  Tools &amp; Accessories     1,601.00</t>
        </is>
      </c>
    </row>
    <row r="9">
      <c r="A9" t="inlineStr">
        <is>
          <t>Movement Jan 2025: MS         01- Medical &amp; LAB Devices. Instruments- (DEV)   05- Medical Electronic Devices (Restorative, Perio, Endo, Implants, Ortho…)    5,500.00</t>
        </is>
      </c>
    </row>
    <row r="10">
      <c r="A10" t="inlineStr">
        <is>
          <t>Movement Jan 2025: MS         01- Medical &amp; LAB Devices. Instruments- (DEV)   06- Hand Instruments (Restorative, Perio, Endo, Implants,Ortho…)       83.33</t>
        </is>
      </c>
    </row>
    <row r="11">
      <c r="A11" t="inlineStr">
        <is>
          <t>Movement Jan 2025: MS         02- Drugs, Needles &amp; Triage- (DRG)              03- Vital Signs/ Emergency Supplies                   345.28</t>
        </is>
      </c>
    </row>
    <row r="12">
      <c r="A12" t="inlineStr">
        <is>
          <t>Movement Jan 2025: MS         02- Drugs, Needles &amp; Triage- (DRG)              04- Needles &amp; Syringes                              1,993.20</t>
        </is>
      </c>
    </row>
    <row r="13">
      <c r="A13" t="inlineStr">
        <is>
          <t>Movement Jan 2025: MS         03- Prevention &amp; Control of Infection- (PCI)    01- Personal Protective Equipment                   2,477.50</t>
        </is>
      </c>
    </row>
    <row r="14">
      <c r="A14" t="inlineStr">
        <is>
          <t>Movement Jan 2025: MS         03- Prevention &amp; Control of Infection- (PCI)    02- Disinfectants &amp; Lubricants                      2,007.00</t>
        </is>
      </c>
    </row>
    <row r="15">
      <c r="A15" t="inlineStr">
        <is>
          <t>Movement Jan 2025: MS         03- Prevention &amp; Control of Infection- (PCI)    03- General &amp; Waste Management                        540.65</t>
        </is>
      </c>
    </row>
    <row r="16">
      <c r="A16" t="inlineStr">
        <is>
          <t>Movement Jan 2025: MS         03- Prevention &amp; Control of Infection- (PCI)    04- Wrapping &amp; Protective Materials                   338.00</t>
        </is>
      </c>
    </row>
    <row r="17">
      <c r="A17" t="inlineStr">
        <is>
          <t>Movement Jan 2025: MS         03- Prevention &amp; Control of Infection- (PCI)    05- Sterilization Monitoring                          806.00</t>
        </is>
      </c>
    </row>
    <row r="18">
      <c r="A18" t="inlineStr">
        <is>
          <t>Movement Jan 2025: MS         04- Dental Materials &amp; Supplies- (DMS)          01- Burs &amp; Stones Tools                             1,552.50</t>
        </is>
      </c>
    </row>
    <row r="19">
      <c r="A19" t="inlineStr">
        <is>
          <t>Movement Jan 2025: MS         04- Dental Materials &amp; Supplies- (DMS)          03- Scaling / Gingiva Materials &amp; Supplies            756.62</t>
        </is>
      </c>
    </row>
    <row r="20">
      <c r="A20" t="inlineStr">
        <is>
          <t>Movement Jan 2025: MS         04- Dental Materials &amp; Supplies- (DMS)          04- Restorative Fillings, Adhesives &amp; Supplies      4,441.00</t>
        </is>
      </c>
    </row>
    <row r="21">
      <c r="A21" t="inlineStr">
        <is>
          <t>Movement Jan 2025: MS         04- Dental Materials &amp; Supplies- (DMS)          05- Endodontic Materials &amp; Posts Supplies           7,630.33</t>
        </is>
      </c>
    </row>
    <row r="22">
      <c r="A22" t="inlineStr">
        <is>
          <t>Movement Jan 2025: MS         04- Dental Materials &amp; Supplies- (DMS)          06- Surgical Materials &amp; Supplies                     710.82</t>
        </is>
      </c>
    </row>
    <row r="23">
      <c r="A23" t="inlineStr">
        <is>
          <t>Movement Jan 2025: MS         04- Dental Materials &amp; Supplies- (DMS)          07- Impression Materials &amp; Supplies                   690.50</t>
        </is>
      </c>
    </row>
    <row r="24">
      <c r="A24" t="inlineStr">
        <is>
          <t>Movement Jan 2025: MS         04- Dental Materials &amp; Supplies- (DMS)          08- Bleaching Material &amp; Supplies                   1,700.00</t>
        </is>
      </c>
    </row>
    <row r="25">
      <c r="A25" t="inlineStr">
        <is>
          <t>Movement Jan 2025: MS         04- Dental Materials &amp; Supplies- (DMS)          10- Patient Education Printouts &amp; Giveaways            90.00</t>
        </is>
      </c>
    </row>
    <row r="26">
      <c r="A26" t="inlineStr">
        <is>
          <t>Movement Jan 2025: OHF        08- Facility Management &amp; (FMS)                 07- Pantry Supplies                                   847.80</t>
        </is>
      </c>
    </row>
    <row r="27">
      <c r="A27" t="inlineStr">
        <is>
          <t>Movement Jan 2025: OHF        08- Facility Management &amp; (FMS)                 08- Stationaries &amp; Printing Supplies                  160.00</t>
        </is>
      </c>
    </row>
    <row r="28">
      <c r="A28" t="inlineStr">
        <is>
          <t>Movement Jan 2025: Pharmacy   02- Drugs, Needles &amp; Triage- (DRG)              01- Local Anaesthetics                                682.00</t>
        </is>
      </c>
    </row>
    <row r="29">
      <c r="A29" t="inlineStr">
        <is>
          <t>Movement Jan 2025: Pharmacy   04- Dental Materials &amp; Supplies- (DMS)          02- Nitrous &amp; Oxygen Sedation                         570.00</t>
        </is>
      </c>
    </row>
    <row r="30">
      <c r="A30" t="inlineStr">
        <is>
          <t>Movement Jan 2025: Prostheses 05- Implants- (IMPL)                            01- Implant Fixtures                               27,500.00</t>
        </is>
      </c>
    </row>
    <row r="31">
      <c r="A31" t="inlineStr">
        <is>
          <t>Movement Jan 2025: Prostheses 05- Implants- (IMPL)                            02- Healing &amp; Cover Screw                           3,699.00</t>
        </is>
      </c>
    </row>
    <row r="32">
      <c r="A32" t="inlineStr">
        <is>
          <t>Movement Jan 2025: Prostheses 05- Implants- (IMPL)                            03- Abutments                                       6,652.00</t>
        </is>
      </c>
    </row>
    <row r="33">
      <c r="A33" t="inlineStr">
        <is>
          <t>Movement Jan 2025: Prostheses 05- Implants- (IMPL)                            04- Implant Impression Tools &amp; Supplies               960.00</t>
        </is>
      </c>
    </row>
    <row r="34">
      <c r="A34" t="inlineStr">
        <is>
          <t>Movement Jan 2025: Prostheses 05- Implants- (IMPL)                            05- Bone Grafting Materials, Synthetic             13,985.00</t>
        </is>
      </c>
    </row>
    <row r="35">
      <c r="A35" t="inlineStr">
        <is>
          <t>Movement Jan 2025: Laboratory  External LAB (P&amp;L line, not stock)                                            1,870.00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Purpose: map every FY2025 expense line to one of the sixteen DOH cost types, by month, so the cost submission can be</t>
        </is>
      </c>
    </row>
    <row r="2">
      <c r="A2" t="inlineStr">
        <is>
          <t>re-expressed with cost buckets and cost types that both equal the ledger (DOH SY02 rejection: Cost Bucket / Cost Type Match).</t>
        </is>
      </c>
    </row>
    <row r="3"/>
    <row r="4">
      <c r="A4" t="inlineStr">
        <is>
          <t>1. Start from the same monthly ledger that gave the locked figures (row 'Ledger (Arjun, locked)'). Every month must reconcile to 0.00.</t>
        </is>
      </c>
    </row>
    <row r="5">
      <c r="A5" t="inlineStr">
        <is>
          <t>2. First classify each cost centre as DIRECT (treats patients: dental surgeries, imaging room) or OVERHEAD (administration, reception/front office,</t>
        </is>
      </c>
    </row>
    <row r="6">
      <c r="A6" t="inlineStr">
        <is>
          <t xml:space="preserve">   management, HR, finance, IT, marketing, facility services, head office).</t>
        </is>
      </c>
    </row>
    <row r="7">
      <c r="A7" t="inlineStr">
        <is>
          <t>3. Expenses of OVERHEAD cost centres go to OHF (or OHDepreciation for their depreciation, OHC if charged by a corporate office).</t>
        </is>
      </c>
    </row>
    <row r="8">
      <c r="A8" t="inlineStr">
        <is>
          <t xml:space="preserve">   Expenses of DIRECT cost centres go to the direct cost types by their nature (salaries by staff category, supplies, depreciation, GS).</t>
        </is>
      </c>
    </row>
    <row r="9">
      <c r="A9" t="inlineStr">
        <is>
          <t>4. Rent, utilities, maintenance and security: if the premises are booked to an overhead cost centre, they are OHF; if booked to the clinic rooms, GS.</t>
        </is>
      </c>
    </row>
    <row r="10">
      <c r="A10" t="inlineStr">
        <is>
          <t>5. Outsourced dental laboratory invoices are Laboratory; crowns/dentures/implants are Prostheses; anaesthetics and drugs are Pharmacy.</t>
        </is>
      </c>
    </row>
    <row r="11">
      <c r="A11" t="inlineStr">
        <is>
          <t>6. Use accrual figures (Standard 3.1.3). Exclude balance-sheet items. Include third-party expenses not in the GL if relevant (3.1.2).</t>
        </is>
      </c>
    </row>
    <row r="12">
      <c r="A12" t="inlineStr">
        <is>
          <t>7. The 'Current implied' sheet shows what the rejected files implied per cost type. It is for comparison only; do not copy it.</t>
        </is>
      </c>
    </row>
    <row r="13">
      <c r="A13" t="inlineStr">
        <is>
          <t>8. DOH expects the overhead ratio between 20% and under 50%; below 20% draws a warning. Report what the ledger says.</t>
        </is>
      </c>
    </row>
    <row r="14"/>
    <row r="15">
      <c r="A15" t="inlineStr">
        <is>
          <t>Return this file as input/Ledger_by_Cost_Type_FY2025.xlsx. The two-margin engine (scripts/rebalance_two_view.py) reads it.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Cost type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Apr</t>
        </is>
      </c>
      <c r="F1" s="1" t="inlineStr">
        <is>
          <t>May</t>
        </is>
      </c>
      <c r="G1" s="1" t="inlineStr">
        <is>
          <t>Jun</t>
        </is>
      </c>
      <c r="H1" s="1" t="inlineStr">
        <is>
          <t>Jul</t>
        </is>
      </c>
      <c r="I1" s="1" t="inlineStr">
        <is>
          <t>Aug</t>
        </is>
      </c>
      <c r="J1" s="1" t="inlineStr">
        <is>
          <t>Sep</t>
        </is>
      </c>
      <c r="K1" s="1" t="inlineStr">
        <is>
          <t>Oct</t>
        </is>
      </c>
      <c r="L1" s="1" t="inlineStr">
        <is>
          <t>Nov</t>
        </is>
      </c>
      <c r="M1" s="1" t="inlineStr">
        <is>
          <t>Dec</t>
        </is>
      </c>
      <c r="N1" s="1" t="inlineStr">
        <is>
          <t>FY2025 total</t>
        </is>
      </c>
      <c r="O1" s="1" t="inlineStr">
        <is>
          <t>Share</t>
        </is>
      </c>
    </row>
    <row r="2">
      <c r="A2" t="inlineStr">
        <is>
          <t>SWNurs</t>
        </is>
      </c>
      <c r="B2" s="7" t="n">
        <v>55736.67</v>
      </c>
      <c r="C2" s="7" t="n">
        <v>60506.604</v>
      </c>
      <c r="D2" s="7" t="n">
        <v>68913.474</v>
      </c>
      <c r="E2" s="7" t="n">
        <v>57524.405</v>
      </c>
      <c r="F2" s="7" t="n">
        <v>58313.543</v>
      </c>
      <c r="G2" s="7" t="n">
        <v>73130.595</v>
      </c>
      <c r="H2" s="7" t="n">
        <v>54158.436</v>
      </c>
      <c r="I2" s="7" t="n">
        <v>58192.573</v>
      </c>
      <c r="J2" s="7" t="n">
        <v>59803.285</v>
      </c>
      <c r="K2" s="7" t="n">
        <v>62476.192</v>
      </c>
      <c r="L2" s="7" t="n">
        <v>56723.65</v>
      </c>
      <c r="M2" s="7" t="n">
        <v>67721.814</v>
      </c>
      <c r="N2" s="7" t="n">
        <v>733201.241</v>
      </c>
      <c r="O2" s="8" t="n">
        <v>0.1761135619697248</v>
      </c>
    </row>
    <row r="3">
      <c r="A3" t="inlineStr">
        <is>
          <t>SWDoc</t>
        </is>
      </c>
      <c r="B3" s="7" t="n">
        <v>156702.002</v>
      </c>
      <c r="C3" s="7" t="n">
        <v>171621.546</v>
      </c>
      <c r="D3" s="7" t="n">
        <v>192980.282</v>
      </c>
      <c r="E3" s="7" t="n">
        <v>165105.147</v>
      </c>
      <c r="F3" s="7" t="n">
        <v>163130.336</v>
      </c>
      <c r="G3" s="7" t="n">
        <v>206870.954</v>
      </c>
      <c r="H3" s="7" t="n">
        <v>152430.262</v>
      </c>
      <c r="I3" s="7" t="n">
        <v>163691.845</v>
      </c>
      <c r="J3" s="7" t="n">
        <v>168519.31</v>
      </c>
      <c r="K3" s="7" t="n">
        <v>176797.824</v>
      </c>
      <c r="L3" s="7" t="n">
        <v>155782.924</v>
      </c>
      <c r="M3" s="7" t="n">
        <v>190270.905</v>
      </c>
      <c r="N3" s="7" t="n">
        <v>2063903.337</v>
      </c>
      <c r="O3" s="8" t="n">
        <v>0.4957457078830439</v>
      </c>
    </row>
    <row r="4">
      <c r="A4" t="inlineStr">
        <is>
          <t>SWAllied</t>
        </is>
      </c>
      <c r="B4" s="7" t="n">
        <v>22872.146</v>
      </c>
      <c r="C4" s="7" t="n">
        <v>23409.751</v>
      </c>
      <c r="D4" s="7" t="n">
        <v>26350.826</v>
      </c>
      <c r="E4" s="7" t="n">
        <v>22972.612</v>
      </c>
      <c r="F4" s="7" t="n">
        <v>21172.484</v>
      </c>
      <c r="G4" s="7" t="n">
        <v>26981.679</v>
      </c>
      <c r="H4" s="7" t="n">
        <v>21075.289</v>
      </c>
      <c r="I4" s="7" t="n">
        <v>22809.501</v>
      </c>
      <c r="J4" s="7" t="n">
        <v>22510.652</v>
      </c>
      <c r="K4" s="7" t="n">
        <v>24113.06</v>
      </c>
      <c r="L4" s="7" t="n">
        <v>22314.39</v>
      </c>
      <c r="M4" s="7" t="n">
        <v>27360.159</v>
      </c>
      <c r="N4" s="7" t="n">
        <v>283942.549</v>
      </c>
      <c r="O4" s="8" t="n">
        <v>0.06820246734846036</v>
      </c>
    </row>
    <row r="5">
      <c r="A5" t="inlineStr">
        <is>
          <t>SWNonClin</t>
        </is>
      </c>
      <c r="B5" s="7" t="n">
        <v>27165.255</v>
      </c>
      <c r="C5" s="7" t="n">
        <v>28086</v>
      </c>
      <c r="D5" s="7" t="n">
        <v>31716.946</v>
      </c>
      <c r="E5" s="7" t="n">
        <v>26955.661</v>
      </c>
      <c r="F5" s="7" t="n">
        <v>25667.68</v>
      </c>
      <c r="G5" s="7" t="n">
        <v>32446.122</v>
      </c>
      <c r="H5" s="7" t="n">
        <v>25220.706</v>
      </c>
      <c r="I5" s="7" t="n">
        <v>27544.267</v>
      </c>
      <c r="J5" s="7" t="n">
        <v>26764.557</v>
      </c>
      <c r="K5" s="7" t="n">
        <v>28656.819</v>
      </c>
      <c r="L5" s="7" t="n">
        <v>26604.39</v>
      </c>
      <c r="M5" s="7" t="n">
        <v>33235.524</v>
      </c>
      <c r="N5" s="7" t="n">
        <v>340063.927</v>
      </c>
      <c r="O5" s="8" t="n">
        <v>0.0816827170119076</v>
      </c>
    </row>
    <row r="6">
      <c r="A6" t="inlineStr">
        <is>
          <t>Laboratory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8" t="n">
        <v>0</v>
      </c>
    </row>
    <row r="7">
      <c r="A7" t="inlineStr">
        <is>
          <t>Imaging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8" t="n">
        <v>0</v>
      </c>
    </row>
    <row r="8">
      <c r="A8" t="inlineStr">
        <is>
          <t>Pharmacy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8" t="n">
        <v>0</v>
      </c>
    </row>
    <row r="9">
      <c r="A9" t="inlineStr">
        <is>
          <t>Prostheses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8" t="n">
        <v>0</v>
      </c>
    </row>
    <row r="10">
      <c r="A10" t="inlineStr">
        <is>
          <t>MS</t>
        </is>
      </c>
      <c r="B10" s="7" t="n">
        <v>25383.894</v>
      </c>
      <c r="C10" s="7" t="n">
        <v>28425.261</v>
      </c>
      <c r="D10" s="7" t="n">
        <v>32199.644</v>
      </c>
      <c r="E10" s="7" t="n">
        <v>28193.478</v>
      </c>
      <c r="F10" s="7" t="n">
        <v>26184.621</v>
      </c>
      <c r="G10" s="7" t="n">
        <v>33826.944</v>
      </c>
      <c r="H10" s="7" t="n">
        <v>24669.243</v>
      </c>
      <c r="I10" s="7" t="n">
        <v>27593.186</v>
      </c>
      <c r="J10" s="7" t="n">
        <v>27598.997</v>
      </c>
      <c r="K10" s="7" t="n">
        <v>29213.675</v>
      </c>
      <c r="L10" s="7" t="n">
        <v>25244.209</v>
      </c>
      <c r="M10" s="7" t="n">
        <v>31944.551</v>
      </c>
      <c r="N10" s="7" t="n">
        <v>340477.703</v>
      </c>
      <c r="O10" s="8" t="n">
        <v>0.08178210523050662</v>
      </c>
    </row>
    <row r="11">
      <c r="A11" t="inlineStr">
        <is>
          <t>Hotel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8" t="n">
        <v>0</v>
      </c>
    </row>
    <row r="12">
      <c r="A12" t="inlineStr">
        <is>
          <t>GS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0</v>
      </c>
      <c r="O12" s="8" t="n">
        <v>0</v>
      </c>
    </row>
    <row r="13">
      <c r="A13" t="inlineStr">
        <is>
          <t>Depreciation</t>
        </is>
      </c>
      <c r="B13" s="7" t="n">
        <v>10225.951</v>
      </c>
      <c r="C13" s="7" t="n">
        <v>10647.038</v>
      </c>
      <c r="D13" s="7" t="n">
        <v>12137.61</v>
      </c>
      <c r="E13" s="7" t="n">
        <v>10362.392</v>
      </c>
      <c r="F13" s="7" t="n">
        <v>9761.378000000001</v>
      </c>
      <c r="G13" s="7" t="n">
        <v>12330.209</v>
      </c>
      <c r="H13" s="7" t="n">
        <v>9603.029</v>
      </c>
      <c r="I13" s="7" t="n">
        <v>10539.643</v>
      </c>
      <c r="J13" s="7" t="n">
        <v>10190.927</v>
      </c>
      <c r="K13" s="7" t="n">
        <v>10934.427</v>
      </c>
      <c r="L13" s="7" t="n">
        <v>9874.922</v>
      </c>
      <c r="M13" s="7" t="n">
        <v>12461.012</v>
      </c>
      <c r="N13" s="7" t="n">
        <v>129068.538</v>
      </c>
      <c r="O13" s="8" t="n">
        <v>0.03100202058360234</v>
      </c>
    </row>
    <row r="14">
      <c r="A14" t="inlineStr">
        <is>
          <t>OHF</t>
        </is>
      </c>
      <c r="B14" s="7" t="n">
        <v>15819.768</v>
      </c>
      <c r="C14" s="7" t="n">
        <v>16353.682</v>
      </c>
      <c r="D14" s="7" t="n">
        <v>18663.328</v>
      </c>
      <c r="E14" s="7" t="n">
        <v>15942.522</v>
      </c>
      <c r="F14" s="7" t="n">
        <v>15048.788</v>
      </c>
      <c r="G14" s="7" t="n">
        <v>18938.115</v>
      </c>
      <c r="H14" s="7" t="n">
        <v>14832.581</v>
      </c>
      <c r="I14" s="7" t="n">
        <v>16171.619</v>
      </c>
      <c r="J14" s="7" t="n">
        <v>15659.915</v>
      </c>
      <c r="K14" s="7" t="n">
        <v>16855.407</v>
      </c>
      <c r="L14" s="7" t="n">
        <v>15336.826</v>
      </c>
      <c r="M14" s="7" t="n">
        <v>19192.025</v>
      </c>
      <c r="N14" s="7" t="n">
        <v>198814.576</v>
      </c>
      <c r="O14" s="8" t="n">
        <v>0.04775488800742572</v>
      </c>
    </row>
    <row r="15">
      <c r="A15" t="inlineStr">
        <is>
          <t>OHDepreciation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8" t="n">
        <v>0</v>
      </c>
    </row>
    <row r="16">
      <c r="A16" t="inlineStr">
        <is>
          <t>OHC</t>
        </is>
      </c>
      <c r="B16" s="7" t="n">
        <v>5737.501</v>
      </c>
      <c r="C16" s="7" t="n">
        <v>6250.031</v>
      </c>
      <c r="D16" s="7" t="n">
        <v>7354.386</v>
      </c>
      <c r="E16" s="7" t="n">
        <v>5580.077</v>
      </c>
      <c r="F16" s="7" t="n">
        <v>5590.133</v>
      </c>
      <c r="G16" s="7" t="n">
        <v>6951.658</v>
      </c>
      <c r="H16" s="7" t="n">
        <v>5463.637</v>
      </c>
      <c r="I16" s="7" t="n">
        <v>5978.173</v>
      </c>
      <c r="J16" s="7" t="n">
        <v>5546.827</v>
      </c>
      <c r="K16" s="7" t="n">
        <v>6055.076</v>
      </c>
      <c r="L16" s="7" t="n">
        <v>5647.897</v>
      </c>
      <c r="M16" s="7" t="n">
        <v>7602.599</v>
      </c>
      <c r="N16" s="7" t="n">
        <v>73757.995</v>
      </c>
      <c r="O16" s="8" t="n">
        <v>0.01771653196532867</v>
      </c>
    </row>
    <row r="17">
      <c r="A17" t="inlineStr">
        <is>
          <t>NABMs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7" t="n">
        <v>0</v>
      </c>
      <c r="N17" s="7" t="n">
        <v>0</v>
      </c>
      <c r="O17" s="8" t="n">
        <v>0</v>
      </c>
    </row>
    <row r="18">
      <c r="A18" s="4" t="inlineStr">
        <is>
          <t>Total (cost-type view of the sent files)</t>
        </is>
      </c>
      <c r="B18" s="4" t="n">
        <v>319643.187</v>
      </c>
      <c r="C18" s="4" t="n">
        <v>345299.913</v>
      </c>
      <c r="D18" s="4" t="n">
        <v>390316.496</v>
      </c>
      <c r="E18" s="4" t="n">
        <v>332636.294</v>
      </c>
      <c r="F18" s="4" t="n">
        <v>324868.963</v>
      </c>
      <c r="G18" s="4" t="n">
        <v>411476.276</v>
      </c>
      <c r="H18" s="4" t="n">
        <v>307453.183</v>
      </c>
      <c r="I18" s="4" t="n">
        <v>332520.807</v>
      </c>
      <c r="J18" s="4" t="n">
        <v>336594.47</v>
      </c>
      <c r="K18" s="4" t="n">
        <v>355102.48</v>
      </c>
      <c r="L18" s="4" t="n">
        <v>317529.208</v>
      </c>
      <c r="M18" s="4" t="n">
        <v>389788.589</v>
      </c>
      <c r="N18" s="4" t="n">
        <v>4163229.866</v>
      </c>
      <c r="O18" s="4" t="n">
        <v>1</v>
      </c>
    </row>
    <row r="19">
      <c r="A19" t="inlineStr">
        <is>
          <t>Note: the sent files carried only 64.5% of each claim in the cost-type view; the remaining 35.5% sat in the bucket 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2026-10-10T14:13:54Z</dcterms:created>
  <dcterms:modified xmlns:dcterms="http://purl.org/dc/terms/" xmlns:xsi="http://www.w3.org/2001/XMLSchema-instance" xsi:type="dcterms:W3CDTF">2026-10-10T14:53:57Z</dcterms:modified>
</cp:coreProperties>
</file>