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types by month" sheetId="1" state="visible" r:id="rId1"/>
    <sheet xmlns:r="http://schemas.openxmlformats.org/officeDocument/2006/relationships" name="Mapping" sheetId="2" state="visible" r:id="rId2"/>
    <sheet xmlns:r="http://schemas.openxmlformats.org/officeDocument/2006/relationships" name="Questions" sheetId="3" state="visible" r:id="rId3"/>
    <sheet xmlns:r="http://schemas.openxmlformats.org/officeDocument/2006/relationships" name="Consumables detail" sheetId="4" state="visible" r:id="rId4"/>
    <sheet xmlns:r="http://schemas.openxmlformats.org/officeDocument/2006/relationships" name="Instructions" sheetId="5" state="visible" r:id="rId5"/>
    <sheet xmlns:r="http://schemas.openxmlformats.org/officeDocument/2006/relationships" name="Current implied" sheetId="6" state="visible" r:id="rId6"/>
    <sheet xmlns:r="http://schemas.openxmlformats.org/officeDocument/2006/relationships" name="Bucket shares"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4" fontId="0" fillId="3" borderId="0" pivotButton="0" quotePrefix="0" xfId="0"/>
    <xf numFmtId="4" fontId="0" fillId="0" borderId="0" pivotButton="0" quotePrefix="0" xfId="0"/>
    <xf numFmtId="0" fontId="1" fillId="0" borderId="0" pivotButton="0" quotePrefix="0" xfId="0"/>
    <xf numFmtId="4" fontId="1" fillId="0" borderId="0" pivotButton="0" quotePrefix="0" xfId="0"/>
    <xf numFmtId="164" fontId="1" fillId="0" borderId="0" pivotButton="0" quotePrefix="0" xfId="0"/>
    <xf numFmtId="165" fontId="0" fillId="0" borderId="0" pivotButton="0" quotePrefix="0" xfId="0"/>
    <xf numFmtId="1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7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Cost type</t>
        </is>
      </c>
      <c r="B1" s="1" t="inlineStr">
        <is>
          <t>Description (Standard v2.1 Appendix 1)</t>
        </is>
      </c>
      <c r="C1" s="1" t="inlineStr">
        <is>
          <t>Jan</t>
        </is>
      </c>
      <c r="D1" s="1" t="inlineStr">
        <is>
          <t>Feb</t>
        </is>
      </c>
      <c r="E1" s="1" t="inlineStr">
        <is>
          <t>Mar</t>
        </is>
      </c>
      <c r="F1" s="1" t="inlineStr">
        <is>
          <t>Apr</t>
        </is>
      </c>
      <c r="G1" s="1" t="inlineStr">
        <is>
          <t>May</t>
        </is>
      </c>
      <c r="H1" s="1" t="inlineStr">
        <is>
          <t>Jun</t>
        </is>
      </c>
      <c r="I1" s="1" t="inlineStr">
        <is>
          <t>Jul</t>
        </is>
      </c>
      <c r="J1" s="1" t="inlineStr">
        <is>
          <t>Aug</t>
        </is>
      </c>
      <c r="K1" s="1" t="inlineStr">
        <is>
          <t>Sep</t>
        </is>
      </c>
      <c r="L1" s="1" t="inlineStr">
        <is>
          <t>Oct</t>
        </is>
      </c>
      <c r="M1" s="1" t="inlineStr">
        <is>
          <t>Nov</t>
        </is>
      </c>
      <c r="N1" s="1" t="inlineStr">
        <is>
          <t>Dec</t>
        </is>
      </c>
      <c r="O1" s="1" t="inlineStr">
        <is>
          <t>FY2025 total</t>
        </is>
      </c>
    </row>
    <row r="2">
      <c r="A2" t="inlineStr">
        <is>
          <t>SWNurs</t>
        </is>
      </c>
      <c r="B2" t="inlineStr">
        <is>
          <t>Salaries and wages — nursing (dental nurses)</t>
        </is>
      </c>
      <c r="C2" s="2" t="n">
        <v>36730.81</v>
      </c>
      <c r="D2" s="2" t="n">
        <v>29995.57</v>
      </c>
      <c r="E2" s="2" t="n">
        <v>32617.62</v>
      </c>
      <c r="F2" s="2" t="n">
        <v>33952.2</v>
      </c>
      <c r="G2" s="2" t="n">
        <v>40465.14</v>
      </c>
      <c r="H2" s="2" t="n">
        <v>59199.4</v>
      </c>
      <c r="I2" s="2" t="n">
        <v>43481.96</v>
      </c>
      <c r="J2" s="2" t="n">
        <v>47559.49</v>
      </c>
      <c r="K2" s="2" t="n">
        <v>30923.73</v>
      </c>
      <c r="L2" s="2" t="n">
        <v>41560.81</v>
      </c>
      <c r="M2" s="2" t="n">
        <v>38852.45</v>
      </c>
      <c r="N2" s="2" t="n">
        <v>46401.93</v>
      </c>
      <c r="O2" s="3">
        <f>SUM(C2:N2)</f>
        <v/>
      </c>
    </row>
    <row r="3">
      <c r="A3" t="inlineStr">
        <is>
          <t>SWDoc</t>
        </is>
      </c>
      <c r="B3" t="inlineStr">
        <is>
          <t>Salaries and wages — medical (dentists, oral surgeons, orthodontists)</t>
        </is>
      </c>
      <c r="C3" s="2" t="n">
        <v>202921.41</v>
      </c>
      <c r="D3" s="2" t="n">
        <v>240908</v>
      </c>
      <c r="E3" s="2" t="n">
        <v>241587.59</v>
      </c>
      <c r="F3" s="2" t="n">
        <v>163755.24</v>
      </c>
      <c r="G3" s="2" t="n">
        <v>191193.8</v>
      </c>
      <c r="H3" s="2" t="n">
        <v>232448.65</v>
      </c>
      <c r="I3" s="2" t="n">
        <v>165564.06</v>
      </c>
      <c r="J3" s="2" t="n">
        <v>155839.06</v>
      </c>
      <c r="K3" s="2" t="n">
        <v>172177.1</v>
      </c>
      <c r="L3" s="2" t="n">
        <v>220195.09</v>
      </c>
      <c r="M3" s="2" t="n">
        <v>158753.06</v>
      </c>
      <c r="N3" s="2" t="n">
        <v>246757.2</v>
      </c>
      <c r="O3" s="3">
        <f>SUM(C3:N3)</f>
        <v/>
      </c>
    </row>
    <row r="4">
      <c r="A4" t="inlineStr">
        <is>
          <t>SWAllied</t>
        </is>
      </c>
      <c r="B4" t="inlineStr">
        <is>
          <t>Salaries and wages — allied health incl. technicians (CSSD technicians; dental technicians, routed to the Prosthesis bucket)</t>
        </is>
      </c>
      <c r="C4" s="2" t="n">
        <v>20665.2</v>
      </c>
      <c r="D4" s="2" t="n">
        <v>14984.34</v>
      </c>
      <c r="E4" s="2" t="n">
        <v>16447.64</v>
      </c>
      <c r="F4" s="2" t="n">
        <v>13193.46</v>
      </c>
      <c r="G4" s="2" t="n">
        <v>17094.45</v>
      </c>
      <c r="H4" s="2" t="n">
        <v>14851.9</v>
      </c>
      <c r="I4" s="2" t="n">
        <v>18203.87</v>
      </c>
      <c r="J4" s="2" t="n">
        <v>24282.36</v>
      </c>
      <c r="K4" s="2" t="n">
        <v>22115.57</v>
      </c>
      <c r="L4" s="2" t="n">
        <v>18079.73</v>
      </c>
      <c r="M4" s="2" t="n">
        <v>20429.83</v>
      </c>
      <c r="N4" s="2" t="n">
        <v>32189.55</v>
      </c>
      <c r="O4" s="3">
        <f>SUM(C4:N4)</f>
        <v/>
      </c>
    </row>
    <row r="5">
      <c r="A5" t="inlineStr">
        <is>
          <t>SWNonClin</t>
        </is>
      </c>
      <c r="B5" t="inlineStr">
        <is>
          <t>Salaries and wages — non-clinical staff recorded in DIRECT cost centres (chairside assistants, clinic clerks). Admin/management in overhead cost centres go to OHF.</t>
        </is>
      </c>
      <c r="C5" s="2" t="n">
        <v>0</v>
      </c>
      <c r="D5" s="2" t="n">
        <v>0</v>
      </c>
      <c r="E5" s="2" t="n">
        <v>0</v>
      </c>
      <c r="F5" s="2" t="n">
        <v>0</v>
      </c>
      <c r="G5" s="2" t="n">
        <v>0</v>
      </c>
      <c r="H5" s="2" t="n">
        <v>0</v>
      </c>
      <c r="I5" s="2" t="n">
        <v>0</v>
      </c>
      <c r="J5" s="2" t="n">
        <v>0</v>
      </c>
      <c r="K5" s="2" t="n">
        <v>0</v>
      </c>
      <c r="L5" s="2" t="n">
        <v>0</v>
      </c>
      <c r="M5" s="2" t="n">
        <v>0</v>
      </c>
      <c r="N5" s="2" t="n">
        <v>0</v>
      </c>
      <c r="O5" s="3">
        <f>SUM(C5:N5)</f>
        <v/>
      </c>
    </row>
    <row r="6">
      <c r="A6" t="inlineStr">
        <is>
          <t>Laboratory</t>
        </is>
      </c>
      <c r="B6" t="inlineStr">
        <is>
          <t>Pathology laboratory supplies — none: the clinic has no laboratory (ruling 13 Oct 2026); dental lab work is Prostheses</t>
        </is>
      </c>
      <c r="C6" s="2" t="n">
        <v>0</v>
      </c>
      <c r="D6" s="2" t="n">
        <v>0</v>
      </c>
      <c r="E6" s="2" t="n">
        <v>0</v>
      </c>
      <c r="F6" s="2" t="n">
        <v>0</v>
      </c>
      <c r="G6" s="2" t="n">
        <v>0</v>
      </c>
      <c r="H6" s="2" t="n">
        <v>0</v>
      </c>
      <c r="I6" s="2" t="n">
        <v>0</v>
      </c>
      <c r="J6" s="2" t="n">
        <v>0</v>
      </c>
      <c r="K6" s="2" t="n">
        <v>0</v>
      </c>
      <c r="L6" s="2" t="n">
        <v>0</v>
      </c>
      <c r="M6" s="2" t="n">
        <v>0</v>
      </c>
      <c r="N6" s="2" t="n">
        <v>0</v>
      </c>
      <c r="O6" s="3">
        <f>SUM(C6:N6)</f>
        <v/>
      </c>
    </row>
    <row r="7">
      <c r="A7" t="inlineStr">
        <is>
          <t>Imaging</t>
        </is>
      </c>
      <c r="B7" t="inlineStr">
        <is>
          <t>Imaging supplies (films, sensors, contrast) and outsourced imaging invoices</t>
        </is>
      </c>
      <c r="C7" s="2" t="n">
        <v>0</v>
      </c>
      <c r="D7" s="2" t="n">
        <v>0</v>
      </c>
      <c r="E7" s="2" t="n">
        <v>0</v>
      </c>
      <c r="F7" s="2" t="n">
        <v>0</v>
      </c>
      <c r="G7" s="2" t="n">
        <v>0</v>
      </c>
      <c r="H7" s="2" t="n">
        <v>0</v>
      </c>
      <c r="I7" s="2" t="n">
        <v>0</v>
      </c>
      <c r="J7" s="2" t="n">
        <v>0</v>
      </c>
      <c r="K7" s="2" t="n">
        <v>0</v>
      </c>
      <c r="L7" s="2" t="n">
        <v>0</v>
      </c>
      <c r="M7" s="2" t="n">
        <v>0</v>
      </c>
      <c r="N7" s="2" t="n">
        <v>0</v>
      </c>
      <c r="O7" s="3">
        <f>SUM(C7:N7)</f>
        <v/>
      </c>
    </row>
    <row r="8">
      <c r="A8" t="inlineStr">
        <is>
          <t>Pharmacy</t>
        </is>
      </c>
      <c r="B8" t="inlineStr">
        <is>
          <t>Drugs, anaesthetics and pharmacy services</t>
        </is>
      </c>
      <c r="C8" s="2" t="n">
        <v>1252</v>
      </c>
      <c r="D8" s="2" t="n">
        <v>1097</v>
      </c>
      <c r="E8" s="2" t="n">
        <v>1063.15</v>
      </c>
      <c r="F8" s="2" t="n">
        <v>1063.15</v>
      </c>
      <c r="G8" s="2" t="n">
        <v>1152</v>
      </c>
      <c r="H8" s="2" t="n">
        <v>1014</v>
      </c>
      <c r="I8" s="2" t="n">
        <v>1506</v>
      </c>
      <c r="J8" s="2" t="n">
        <v>1359</v>
      </c>
      <c r="K8" s="2" t="n">
        <v>2243.5</v>
      </c>
      <c r="L8" s="2" t="n">
        <v>1145.54</v>
      </c>
      <c r="M8" s="2" t="n">
        <v>1203.75</v>
      </c>
      <c r="N8" s="2" t="n">
        <v>782.9</v>
      </c>
      <c r="O8" s="3">
        <f>SUM(C8:N8)</f>
        <v/>
      </c>
    </row>
    <row r="9">
      <c r="A9" t="inlineStr">
        <is>
          <t>Prostheses</t>
        </is>
      </c>
      <c r="B9" t="inlineStr">
        <is>
          <t>Implants, abutments, bone graft; crowns, bridges, veneers, onlays, dentures and every other lab-fabricated prosthesis (in-house CAD/CAM materials and external lab invoices)</t>
        </is>
      </c>
      <c r="C9" s="2" t="n">
        <v>70074.94</v>
      </c>
      <c r="D9" s="2" t="n">
        <v>59229.44</v>
      </c>
      <c r="E9" s="2" t="n">
        <v>88151.42</v>
      </c>
      <c r="F9" s="2" t="n">
        <v>70459.42</v>
      </c>
      <c r="G9" s="2" t="n">
        <v>63639.05</v>
      </c>
      <c r="H9" s="2" t="n">
        <v>53007.03</v>
      </c>
      <c r="I9" s="2" t="n">
        <v>46524.6</v>
      </c>
      <c r="J9" s="2" t="n">
        <v>69988.98</v>
      </c>
      <c r="K9" s="2" t="n">
        <v>57602.32</v>
      </c>
      <c r="L9" s="2" t="n">
        <v>49525.36</v>
      </c>
      <c r="M9" s="2" t="n">
        <v>53926.7</v>
      </c>
      <c r="N9" s="2" t="n">
        <v>68940.98</v>
      </c>
      <c r="O9" s="3">
        <f>SUM(C9:N9)</f>
        <v/>
      </c>
    </row>
    <row r="10">
      <c r="A10" t="inlineStr">
        <is>
          <t>MS</t>
        </is>
      </c>
      <c r="B10" t="inlineStr">
        <is>
          <t>All other medical, surgical and dental supplies</t>
        </is>
      </c>
      <c r="C10" s="2" t="n">
        <v>31662.75</v>
      </c>
      <c r="D10" s="2" t="n">
        <v>28366.96</v>
      </c>
      <c r="E10" s="2" t="n">
        <v>30966.43</v>
      </c>
      <c r="F10" s="2" t="n">
        <v>30966.43</v>
      </c>
      <c r="G10" s="2" t="n">
        <v>24043.48</v>
      </c>
      <c r="H10" s="2" t="n">
        <v>23064.38</v>
      </c>
      <c r="I10" s="2" t="n">
        <v>26049.57</v>
      </c>
      <c r="J10" s="2" t="n">
        <v>30284.7</v>
      </c>
      <c r="K10" s="2" t="n">
        <v>25239.34</v>
      </c>
      <c r="L10" s="2" t="n">
        <v>25007.41</v>
      </c>
      <c r="M10" s="2" t="n">
        <v>25059.69</v>
      </c>
      <c r="N10" s="2" t="n">
        <v>23384.86</v>
      </c>
      <c r="O10" s="3">
        <f>SUM(C10:N10)</f>
        <v/>
      </c>
    </row>
    <row r="11">
      <c r="A11" t="inlineStr">
        <is>
          <t>Hotel</t>
        </is>
      </c>
      <c r="B11" t="inlineStr">
        <is>
          <t>Cleaning products/services, linen and laundry, patient food</t>
        </is>
      </c>
      <c r="C11" s="2" t="n">
        <v>0</v>
      </c>
      <c r="D11" s="2" t="n">
        <v>0</v>
      </c>
      <c r="E11" s="2" t="n">
        <v>0</v>
      </c>
      <c r="F11" s="2" t="n">
        <v>0</v>
      </c>
      <c r="G11" s="2" t="n">
        <v>0</v>
      </c>
      <c r="H11" s="2" t="n">
        <v>0</v>
      </c>
      <c r="I11" s="2" t="n">
        <v>0</v>
      </c>
      <c r="J11" s="2" t="n">
        <v>0</v>
      </c>
      <c r="K11" s="2" t="n">
        <v>0</v>
      </c>
      <c r="L11" s="2" t="n">
        <v>0</v>
      </c>
      <c r="M11" s="2" t="n">
        <v>0</v>
      </c>
      <c r="N11" s="2" t="n">
        <v>0</v>
      </c>
      <c r="O11" s="3">
        <f>SUM(C11:N11)</f>
        <v/>
      </c>
    </row>
    <row r="12">
      <c r="A12" t="inlineStr">
        <is>
          <t>GS</t>
        </is>
      </c>
      <c r="B12" t="inlineStr">
        <is>
          <t>All other goods and services recorded in DIRECT cost centres (e.g. rent, utilities, security if booked to the clinic rooms)</t>
        </is>
      </c>
      <c r="C12" s="2" t="n">
        <v>1000</v>
      </c>
      <c r="D12" s="2" t="n">
        <v>2258.57</v>
      </c>
      <c r="E12" s="2" t="n">
        <v>0</v>
      </c>
      <c r="F12" s="2" t="n">
        <v>830</v>
      </c>
      <c r="G12" s="2" t="n">
        <v>0</v>
      </c>
      <c r="H12" s="2" t="n">
        <v>0</v>
      </c>
      <c r="I12" s="2" t="n">
        <v>0</v>
      </c>
      <c r="J12" s="2" t="n">
        <v>0</v>
      </c>
      <c r="K12" s="2" t="n">
        <v>0</v>
      </c>
      <c r="L12" s="2" t="n">
        <v>1350</v>
      </c>
      <c r="M12" s="2" t="n">
        <v>0</v>
      </c>
      <c r="N12" s="2" t="n">
        <v>200</v>
      </c>
      <c r="O12" s="3">
        <f>SUM(C12:N12)</f>
        <v/>
      </c>
    </row>
    <row r="13">
      <c r="A13" t="inlineStr">
        <is>
          <t>Depreciation</t>
        </is>
      </c>
      <c r="B13" t="inlineStr">
        <is>
          <t>Depreciation and amortisation recorded in DIRECT cost centres (dental chairs, imaging units)</t>
        </is>
      </c>
      <c r="C13" s="2" t="n">
        <v>10556.61</v>
      </c>
      <c r="D13" s="2" t="n">
        <v>10556.61</v>
      </c>
      <c r="E13" s="2" t="n">
        <v>10556.61</v>
      </c>
      <c r="F13" s="2" t="n">
        <v>10556.61</v>
      </c>
      <c r="G13" s="2" t="n">
        <v>10556.61</v>
      </c>
      <c r="H13" s="2" t="n">
        <v>10556.61</v>
      </c>
      <c r="I13" s="2" t="n">
        <v>10556.61</v>
      </c>
      <c r="J13" s="2" t="n">
        <v>10556.61</v>
      </c>
      <c r="K13" s="2" t="n">
        <v>10556.61</v>
      </c>
      <c r="L13" s="2" t="n">
        <v>10556.61</v>
      </c>
      <c r="M13" s="2" t="n">
        <v>10556.61</v>
      </c>
      <c r="N13" s="2" t="n">
        <v>10556.61</v>
      </c>
      <c r="O13" s="3">
        <f>SUM(C13:N13)</f>
        <v/>
      </c>
    </row>
    <row r="14">
      <c r="A14" t="inlineStr">
        <is>
          <t>OHF</t>
        </is>
      </c>
      <c r="B14" t="inlineStr">
        <is>
          <t>ALL expenses of OVERHEAD cost centres except depreciation: administration, reception/front office, management, HR, finance, IT, marketing, facility rent/utilities/maintenance booked to overhead centres</t>
        </is>
      </c>
      <c r="C14" s="2" t="n">
        <v>125596.78</v>
      </c>
      <c r="D14" s="2" t="n">
        <v>105120.36</v>
      </c>
      <c r="E14" s="2" t="n">
        <v>120683.61</v>
      </c>
      <c r="F14" s="2" t="n">
        <v>124341.41</v>
      </c>
      <c r="G14" s="2" t="n">
        <v>134897.36</v>
      </c>
      <c r="H14" s="2" t="n">
        <v>182451.59</v>
      </c>
      <c r="I14" s="2" t="n">
        <v>140755.35</v>
      </c>
      <c r="J14" s="2" t="n">
        <v>157095.1</v>
      </c>
      <c r="K14" s="2" t="n">
        <v>158159.08</v>
      </c>
      <c r="L14" s="2" t="n">
        <v>151280.63</v>
      </c>
      <c r="M14" s="2" t="n">
        <v>157439.14</v>
      </c>
      <c r="N14" s="2" t="n">
        <v>166190.4</v>
      </c>
      <c r="O14" s="3">
        <f>SUM(C14:N14)</f>
        <v/>
      </c>
    </row>
    <row r="15">
      <c r="A15" t="inlineStr">
        <is>
          <t>OHDepreciation</t>
        </is>
      </c>
      <c r="B15" t="inlineStr">
        <is>
          <t>Depreciation and amortisation recorded in OVERHEAD cost centres</t>
        </is>
      </c>
      <c r="C15" s="2" t="n">
        <v>2524.8</v>
      </c>
      <c r="D15" s="2" t="n">
        <v>2524.8</v>
      </c>
      <c r="E15" s="2" t="n">
        <v>2524.8</v>
      </c>
      <c r="F15" s="2" t="n">
        <v>2524.8</v>
      </c>
      <c r="G15" s="2" t="n">
        <v>2524.8</v>
      </c>
      <c r="H15" s="2" t="n">
        <v>2524.8</v>
      </c>
      <c r="I15" s="2" t="n">
        <v>2524.8</v>
      </c>
      <c r="J15" s="2" t="n">
        <v>2524.8</v>
      </c>
      <c r="K15" s="2" t="n">
        <v>2524.8</v>
      </c>
      <c r="L15" s="2" t="n">
        <v>2524.8</v>
      </c>
      <c r="M15" s="2" t="n">
        <v>2524.8</v>
      </c>
      <c r="N15" s="2" t="n">
        <v>2524.8</v>
      </c>
      <c r="O15" s="3">
        <f>SUM(C15:N15)</f>
        <v/>
      </c>
    </row>
    <row r="16">
      <c r="A16" t="inlineStr">
        <is>
          <t>OHC</t>
        </is>
      </c>
      <c r="B16" t="inlineStr">
        <is>
          <t>Overheads charged by a corporate office / shared services (group fees, head-office recharges)</t>
        </is>
      </c>
      <c r="C16" s="2" t="n">
        <v>8317</v>
      </c>
      <c r="D16" s="2" t="n">
        <v>37300</v>
      </c>
      <c r="E16" s="2" t="n">
        <v>62270</v>
      </c>
      <c r="F16" s="2" t="n">
        <v>66480.95</v>
      </c>
      <c r="G16" s="2" t="n">
        <v>2500</v>
      </c>
      <c r="H16" s="2" t="n">
        <v>37375.73</v>
      </c>
      <c r="I16" s="2" t="n">
        <v>25000</v>
      </c>
      <c r="J16" s="2" t="n">
        <v>27500</v>
      </c>
      <c r="K16" s="2" t="n">
        <v>28000</v>
      </c>
      <c r="L16" s="2" t="n">
        <v>25500</v>
      </c>
      <c r="M16" s="2" t="n">
        <v>25000</v>
      </c>
      <c r="N16" s="2" t="n">
        <v>25104.5</v>
      </c>
      <c r="O16" s="3">
        <f>SUM(C16:N16)</f>
        <v/>
      </c>
    </row>
    <row r="17">
      <c r="A17" t="inlineStr">
        <is>
          <t>NABMs</t>
        </is>
      </c>
      <c r="B17" t="inlineStr">
        <is>
          <t>Non-activity based mandate funding by DOH, reported as negative cost (normally 0 for a private clinic)</t>
        </is>
      </c>
      <c r="C17" s="2" t="n">
        <v>0</v>
      </c>
      <c r="D17" s="2" t="n">
        <v>0</v>
      </c>
      <c r="E17" s="2" t="n">
        <v>0</v>
      </c>
      <c r="F17" s="2" t="n">
        <v>0</v>
      </c>
      <c r="G17" s="2" t="n">
        <v>0</v>
      </c>
      <c r="H17" s="2" t="n">
        <v>0</v>
      </c>
      <c r="I17" s="2" t="n">
        <v>0</v>
      </c>
      <c r="J17" s="2" t="n">
        <v>0</v>
      </c>
      <c r="K17" s="2" t="n">
        <v>0</v>
      </c>
      <c r="L17" s="2" t="n">
        <v>0</v>
      </c>
      <c r="M17" s="2" t="n">
        <v>0</v>
      </c>
      <c r="N17" s="2" t="n">
        <v>0</v>
      </c>
      <c r="O17" s="3">
        <f>SUM(C17:N17)</f>
        <v/>
      </c>
    </row>
    <row r="18"/>
    <row r="19">
      <c r="A19" s="4" t="inlineStr">
        <is>
          <t>Total entered</t>
        </is>
      </c>
      <c r="B19" s="4" t="inlineStr"/>
      <c r="C19" s="5">
        <f>SUM(C2:C17)</f>
        <v/>
      </c>
      <c r="D19" s="5">
        <f>SUM(D2:D17)</f>
        <v/>
      </c>
      <c r="E19" s="5">
        <f>SUM(E2:E17)</f>
        <v/>
      </c>
      <c r="F19" s="5">
        <f>SUM(F2:F17)</f>
        <v/>
      </c>
      <c r="G19" s="5">
        <f>SUM(G2:G17)</f>
        <v/>
      </c>
      <c r="H19" s="5">
        <f>SUM(H2:H17)</f>
        <v/>
      </c>
      <c r="I19" s="5">
        <f>SUM(I2:I17)</f>
        <v/>
      </c>
      <c r="J19" s="5">
        <f>SUM(J2:J17)</f>
        <v/>
      </c>
      <c r="K19" s="5">
        <f>SUM(K2:K17)</f>
        <v/>
      </c>
      <c r="L19" s="5">
        <f>SUM(L2:L17)</f>
        <v/>
      </c>
      <c r="M19" s="5">
        <f>SUM(M2:M17)</f>
        <v/>
      </c>
      <c r="N19" s="5">
        <f>SUM(N2:N17)</f>
        <v/>
      </c>
      <c r="O19" s="5">
        <f>SUM(O2:O17)</f>
        <v/>
      </c>
    </row>
    <row r="20">
      <c r="A20" s="4" t="inlineStr">
        <is>
          <t>Ledger (Arjun, locked)</t>
        </is>
      </c>
      <c r="B20" s="4" t="inlineStr"/>
      <c r="C20" s="5" t="n">
        <v>511302.3</v>
      </c>
      <c r="D20" s="5" t="n">
        <v>532341.65</v>
      </c>
      <c r="E20" s="5" t="n">
        <v>606868.87</v>
      </c>
      <c r="F20" s="5" t="n">
        <v>518123.67</v>
      </c>
      <c r="G20" s="5" t="n">
        <v>488066.69</v>
      </c>
      <c r="H20" s="5" t="n">
        <v>616494.09</v>
      </c>
      <c r="I20" s="5" t="n">
        <v>480166.82</v>
      </c>
      <c r="J20" s="5" t="n">
        <v>526990.1</v>
      </c>
      <c r="K20" s="5" t="n">
        <v>509542.05</v>
      </c>
      <c r="L20" s="5" t="n">
        <v>546725.98</v>
      </c>
      <c r="M20" s="5" t="n">
        <v>493746.03</v>
      </c>
      <c r="N20" s="5" t="n">
        <v>623033.73</v>
      </c>
      <c r="O20" s="5" t="n">
        <v>6453401.98</v>
      </c>
    </row>
    <row r="21">
      <c r="A21" s="4" t="inlineStr">
        <is>
          <t>Difference (must be 0.00)</t>
        </is>
      </c>
      <c r="B21" s="4" t="inlineStr"/>
      <c r="C21" s="5">
        <f>C19-C20</f>
        <v/>
      </c>
      <c r="D21" s="5">
        <f>D19-D20</f>
        <v/>
      </c>
      <c r="E21" s="5">
        <f>E19-E20</f>
        <v/>
      </c>
      <c r="F21" s="5">
        <f>F19-F20</f>
        <v/>
      </c>
      <c r="G21" s="5">
        <f>G19-G20</f>
        <v/>
      </c>
      <c r="H21" s="5">
        <f>H19-H20</f>
        <v/>
      </c>
      <c r="I21" s="5">
        <f>I19-I20</f>
        <v/>
      </c>
      <c r="J21" s="5">
        <f>J19-J20</f>
        <v/>
      </c>
      <c r="K21" s="5">
        <f>K19-K20</f>
        <v/>
      </c>
      <c r="L21" s="5">
        <f>L19-L20</f>
        <v/>
      </c>
      <c r="M21" s="5">
        <f>M19-M20</f>
        <v/>
      </c>
      <c r="N21" s="5">
        <f>N19-N20</f>
        <v/>
      </c>
      <c r="O21" s="5">
        <f>O19-O20</f>
        <v/>
      </c>
    </row>
    <row r="22"/>
    <row r="23">
      <c r="A23" s="4" t="inlineStr">
        <is>
          <t>Overhead ratio (OHF+OHDepreciation+OHC) / total</t>
        </is>
      </c>
      <c r="B23" s="4" t="inlineStr"/>
      <c r="C23" s="6">
        <f>IFERROR((C14+C15+C16)/C19,0)</f>
        <v/>
      </c>
      <c r="D23" s="6">
        <f>IFERROR((D14+D15+D16)/D19,0)</f>
        <v/>
      </c>
      <c r="E23" s="6">
        <f>IFERROR((E14+E15+E16)/E19,0)</f>
        <v/>
      </c>
      <c r="F23" s="6">
        <f>IFERROR((F14+F15+F16)/F19,0)</f>
        <v/>
      </c>
      <c r="G23" s="6">
        <f>IFERROR((G14+G15+G16)/G19,0)</f>
        <v/>
      </c>
      <c r="H23" s="6">
        <f>IFERROR((H14+H15+H16)/H19,0)</f>
        <v/>
      </c>
      <c r="I23" s="6">
        <f>IFERROR((I14+I15+I16)/I19,0)</f>
        <v/>
      </c>
      <c r="J23" s="6">
        <f>IFERROR((J14+J15+J16)/J19,0)</f>
        <v/>
      </c>
      <c r="K23" s="6">
        <f>IFERROR((K14+K15+K16)/K19,0)</f>
        <v/>
      </c>
      <c r="L23" s="6">
        <f>IFERROR((L14+L15+L16)/L19,0)</f>
        <v/>
      </c>
      <c r="M23" s="6">
        <f>IFERROR((M14+M15+M16)/M19,0)</f>
        <v/>
      </c>
      <c r="N23" s="6">
        <f>IFERROR((N14+N15+N16)/N19,0)</f>
        <v/>
      </c>
      <c r="O23" s="6">
        <f>IFERROR((O14+O15+O16)/O19,0)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7"/>
  <sheetViews>
    <sheetView workbookViewId="0">
      <selection activeCell="A1" sqref="A1"/>
    </sheetView>
  </sheetViews>
  <sheetFormatPr baseColWidth="8" defaultRowHeight="15"/>
  <cols>
    <col width="16" customWidth="1" min="1" max="1"/>
    <col width="48" customWidth="1" min="2" max="2"/>
    <col width="14" customWidth="1" min="3" max="3"/>
    <col width="36" customWidth="1" min="4" max="4"/>
    <col width="90" customWidth="1" min="5" max="5"/>
  </cols>
  <sheetData>
    <row r="1">
      <c r="A1" s="1" t="inlineStr">
        <is>
          <t>Source</t>
        </is>
      </c>
      <c r="B1" s="1" t="inlineStr">
        <is>
          <t>Ledger head / split</t>
        </is>
      </c>
      <c r="C1" s="1" t="inlineStr">
        <is>
          <t>DOH cost type</t>
        </is>
      </c>
      <c r="D1" s="1" t="inlineStr">
        <is>
          <t>Cost-centre class (Stage 2)</t>
        </is>
      </c>
      <c r="E1" s="1" t="inlineStr">
        <is>
          <t>Basis</t>
        </is>
      </c>
      <c r="F1" s="1" t="inlineStr">
        <is>
          <t>Jan</t>
        </is>
      </c>
      <c r="G1" s="1" t="inlineStr">
        <is>
          <t>Feb</t>
        </is>
      </c>
      <c r="H1" s="1" t="inlineStr">
        <is>
          <t>Mar</t>
        </is>
      </c>
      <c r="I1" s="1" t="inlineStr">
        <is>
          <t>Apr</t>
        </is>
      </c>
      <c r="J1" s="1" t="inlineStr">
        <is>
          <t>May</t>
        </is>
      </c>
      <c r="K1" s="1" t="inlineStr">
        <is>
          <t>Jun</t>
        </is>
      </c>
      <c r="L1" s="1" t="inlineStr">
        <is>
          <t>Jul</t>
        </is>
      </c>
      <c r="M1" s="1" t="inlineStr">
        <is>
          <t>Aug</t>
        </is>
      </c>
      <c r="N1" s="1" t="inlineStr">
        <is>
          <t>Sep</t>
        </is>
      </c>
      <c r="O1" s="1" t="inlineStr">
        <is>
          <t>Oct</t>
        </is>
      </c>
      <c r="P1" s="1" t="inlineStr">
        <is>
          <t>Nov</t>
        </is>
      </c>
      <c r="Q1" s="1" t="inlineStr">
        <is>
          <t>Dec</t>
        </is>
      </c>
      <c r="R1" s="1" t="inlineStr">
        <is>
          <t>FY2025</t>
        </is>
      </c>
    </row>
    <row r="2">
      <c r="A2" t="inlineStr">
        <is>
          <t>Salary sheet</t>
        </is>
      </c>
      <c r="B2" t="inlineStr">
        <is>
          <t>Salaries &amp; Wages: Nurse/licensed</t>
        </is>
      </c>
      <c r="C2" t="inlineStr">
        <is>
          <t>SWNurs</t>
        </is>
      </c>
      <c r="D2" t="inlineStr">
        <is>
          <t>Direct — dental surgeries</t>
        </is>
      </c>
      <c r="E2" t="inlineStr">
        <is>
          <t>licensed dental nurses</t>
        </is>
      </c>
      <c r="F2" s="3" t="n">
        <v>19500</v>
      </c>
      <c r="G2" s="3" t="n">
        <v>19952</v>
      </c>
      <c r="H2" s="3" t="n">
        <v>19607</v>
      </c>
      <c r="I2" s="3" t="n">
        <v>18228</v>
      </c>
      <c r="J2" s="3" t="n">
        <v>20050</v>
      </c>
      <c r="K2" s="3" t="n">
        <v>19643.33</v>
      </c>
      <c r="L2" s="3" t="n">
        <v>17632.8</v>
      </c>
      <c r="M2" s="3" t="n">
        <v>19933</v>
      </c>
      <c r="N2" s="3" t="n">
        <v>10417</v>
      </c>
      <c r="O2" s="3" t="n">
        <v>19125</v>
      </c>
      <c r="P2" s="3" t="n">
        <v>19266.13</v>
      </c>
      <c r="Q2" s="3" t="n">
        <v>19416.67</v>
      </c>
      <c r="R2" s="3" t="n">
        <v>222770.93</v>
      </c>
    </row>
    <row r="3">
      <c r="A3" t="inlineStr">
        <is>
          <t>Salary sheet</t>
        </is>
      </c>
      <c r="B3" t="inlineStr">
        <is>
          <t>Salaries &amp; Wages: Nurse/No License</t>
        </is>
      </c>
      <c r="C3" t="inlineStr">
        <is>
          <t>SWNurs</t>
        </is>
      </c>
      <c r="D3" t="inlineStr">
        <is>
          <t>Direct — dental surgeries</t>
        </is>
      </c>
      <c r="E3" t="inlineStr">
        <is>
          <t>dental assistants (unlicensed nurses)</t>
        </is>
      </c>
      <c r="F3" s="3" t="n">
        <v>5600</v>
      </c>
      <c r="G3" s="3" t="n">
        <v>6000</v>
      </c>
      <c r="H3" s="3" t="n">
        <v>6000</v>
      </c>
      <c r="I3" s="3" t="n">
        <v>7258</v>
      </c>
      <c r="J3" s="3" t="n">
        <v>9000</v>
      </c>
      <c r="K3" s="3" t="n">
        <v>9500</v>
      </c>
      <c r="L3" s="3" t="n">
        <v>9067</v>
      </c>
      <c r="M3" s="3" t="n">
        <v>9500</v>
      </c>
      <c r="N3" s="3" t="n">
        <v>10000</v>
      </c>
      <c r="O3" s="3" t="n">
        <v>10000</v>
      </c>
      <c r="P3" s="3" t="n">
        <v>10000</v>
      </c>
      <c r="Q3" s="3" t="n">
        <v>10000</v>
      </c>
      <c r="R3" s="3" t="n">
        <v>101925</v>
      </c>
    </row>
    <row r="4">
      <c r="A4" t="inlineStr">
        <is>
          <t>Monthly sheet</t>
        </is>
      </c>
      <c r="B4" t="inlineStr">
        <is>
          <t>Staff Qualification And Education: benefits, bonus, end-of-service, training → SWNurs</t>
        </is>
      </c>
      <c r="C4" t="inlineStr">
        <is>
          <t>SWNurs</t>
        </is>
      </c>
      <c r="D4" t="inlineStr">
        <is>
          <t>Direct — dental surgeries (nurses' on-costs)</t>
        </is>
      </c>
      <c r="E4" t="inlineStr">
        <is>
          <t>staff on-cost; monthly salary key (Nurse/licensed, Nurse/No License); ruling 13 Oct 2026, Option 3</t>
        </is>
      </c>
      <c r="F4" s="3" t="n">
        <v>2782.39</v>
      </c>
      <c r="G4" s="3" t="n">
        <v>1102.71</v>
      </c>
      <c r="H4" s="3" t="n">
        <v>3755.96</v>
      </c>
      <c r="I4" s="3" t="n">
        <v>4279.98</v>
      </c>
      <c r="J4" s="3" t="n">
        <v>6325.48</v>
      </c>
      <c r="K4" s="3" t="n">
        <v>19698.3</v>
      </c>
      <c r="L4" s="3" t="n">
        <v>13505.88</v>
      </c>
      <c r="M4" s="3" t="n">
        <v>13841.6</v>
      </c>
      <c r="N4" s="3" t="n">
        <v>7496.38</v>
      </c>
      <c r="O4" s="3" t="n">
        <v>9727.110000000001</v>
      </c>
      <c r="P4" s="3" t="n">
        <v>5583.83</v>
      </c>
      <c r="Q4" s="3" t="n">
        <v>13514.45</v>
      </c>
      <c r="R4" s="3" t="n">
        <v>101614.07</v>
      </c>
    </row>
    <row r="5">
      <c r="A5" t="inlineStr">
        <is>
          <t>Monthly sheet</t>
        </is>
      </c>
      <c r="B5" t="inlineStr">
        <is>
          <t>Legal &amp; Professional Expenses: visas, work permits, labour cards → SWNurs</t>
        </is>
      </c>
      <c r="C5" t="inlineStr">
        <is>
          <t>SWNurs</t>
        </is>
      </c>
      <c r="D5" t="inlineStr">
        <is>
          <t>Direct — dental surgeries (nurses' on-costs)</t>
        </is>
      </c>
      <c r="E5" t="inlineStr">
        <is>
          <t>staff on-cost; monthly headcount key (Nurse/licensed, Nurse/No License); ruling 13 Oct 2026, Option 3</t>
        </is>
      </c>
      <c r="F5" s="3" t="n">
        <v>5345.12</v>
      </c>
      <c r="G5" s="3" t="n">
        <v>1313.36</v>
      </c>
      <c r="H5" s="3" t="n">
        <v>1426.73</v>
      </c>
      <c r="I5" s="3" t="n">
        <v>1915.54</v>
      </c>
      <c r="J5" s="3" t="n">
        <v>2680.45</v>
      </c>
      <c r="K5" s="3" t="n">
        <v>6302.34</v>
      </c>
      <c r="L5" s="3" t="n">
        <v>1622.03</v>
      </c>
      <c r="M5" s="3" t="n">
        <v>2759.87</v>
      </c>
      <c r="N5" s="3" t="n">
        <v>1932.71</v>
      </c>
      <c r="O5" s="3" t="n">
        <v>1611.14</v>
      </c>
      <c r="P5" s="3" t="n">
        <v>2509.13</v>
      </c>
      <c r="Q5" s="3" t="n">
        <v>2103.55</v>
      </c>
      <c r="R5" s="3" t="n">
        <v>31521.97</v>
      </c>
    </row>
    <row r="6">
      <c r="A6" t="inlineStr">
        <is>
          <t>Monthly sheet</t>
        </is>
      </c>
      <c r="B6" t="inlineStr">
        <is>
          <t>Legal &amp; Professional Expenses: clinician licences (DOH, Dataflow, CME) → SWNurs</t>
        </is>
      </c>
      <c r="C6" t="inlineStr">
        <is>
          <t>SWNurs</t>
        </is>
      </c>
      <c r="D6" t="inlineStr">
        <is>
          <t>Direct — dental surgeries (nurses' on-costs)</t>
        </is>
      </c>
      <c r="E6" t="inlineStr">
        <is>
          <t>staff on-cost; monthly licensed key (Nurse/licensed); ruling 13 Oct 2026, Option 3</t>
        </is>
      </c>
      <c r="F6" s="3" t="n">
        <v>2252.9</v>
      </c>
      <c r="G6" s="3" t="n">
        <v>489.47</v>
      </c>
      <c r="H6" s="3" t="n">
        <v>633</v>
      </c>
      <c r="I6" s="3" t="n">
        <v>777.02</v>
      </c>
      <c r="J6" s="3" t="n">
        <v>1046.53</v>
      </c>
      <c r="K6" s="3" t="n">
        <v>2556.48</v>
      </c>
      <c r="L6" s="3" t="n">
        <v>662.0700000000001</v>
      </c>
      <c r="M6" s="3" t="n">
        <v>1126.52</v>
      </c>
      <c r="N6" s="3" t="n">
        <v>718.65</v>
      </c>
      <c r="O6" s="3" t="n">
        <v>686.22</v>
      </c>
      <c r="P6" s="3" t="n">
        <v>1068.69</v>
      </c>
      <c r="Q6" s="3" t="n">
        <v>933.28</v>
      </c>
      <c r="R6" s="3" t="n">
        <v>12950.83</v>
      </c>
    </row>
    <row r="7">
      <c r="A7" t="inlineStr">
        <is>
          <t>Monthly sheet</t>
        </is>
      </c>
      <c r="B7" t="inlineStr">
        <is>
          <t>Insurance: staff medical insurance → SWNurs</t>
        </is>
      </c>
      <c r="C7" t="inlineStr">
        <is>
          <t>SWNurs</t>
        </is>
      </c>
      <c r="D7" t="inlineStr">
        <is>
          <t>Direct — dental surgeries (nurses' on-costs)</t>
        </is>
      </c>
      <c r="E7" t="inlineStr">
        <is>
          <t>staff on-cost; monthly headcount key (Nurse/licensed, Nurse/No License); ruling 13 Oct 2026, Option 3</t>
        </is>
      </c>
      <c r="F7" s="3" t="n">
        <v>1250.4</v>
      </c>
      <c r="G7" s="3" t="n">
        <v>1138.03</v>
      </c>
      <c r="H7" s="3" t="n">
        <v>1194.93</v>
      </c>
      <c r="I7" s="3" t="n">
        <v>1493.66</v>
      </c>
      <c r="J7" s="3" t="n">
        <v>1362.68</v>
      </c>
      <c r="K7" s="3" t="n">
        <v>1498.95</v>
      </c>
      <c r="L7" s="3" t="n">
        <v>992.1799999999999</v>
      </c>
      <c r="M7" s="3" t="n">
        <v>398.5</v>
      </c>
      <c r="N7" s="3" t="n">
        <v>358.99</v>
      </c>
      <c r="O7" s="3" t="n">
        <v>411.34</v>
      </c>
      <c r="P7" s="3" t="n">
        <v>424.67</v>
      </c>
      <c r="Q7" s="3" t="n">
        <v>433.98</v>
      </c>
      <c r="R7" s="3" t="n">
        <v>10958.31</v>
      </c>
    </row>
    <row r="8">
      <c r="A8" t="inlineStr">
        <is>
          <t>Salary sheet</t>
        </is>
      </c>
      <c r="B8" t="inlineStr">
        <is>
          <t>Salaries &amp; Wages: Direct Dr</t>
        </is>
      </c>
      <c r="C8" t="inlineStr">
        <is>
          <t>SWDoc</t>
        </is>
      </c>
      <c r="D8" t="inlineStr">
        <is>
          <t>Direct — dental surgeries</t>
        </is>
      </c>
      <c r="E8" t="inlineStr">
        <is>
          <t>dentists, oral surgeon, orthodontist (Salary sheet 'Direct Dr')</t>
        </is>
      </c>
      <c r="F8" s="3" t="n">
        <v>171870</v>
      </c>
      <c r="G8" s="3" t="n">
        <v>225878.31</v>
      </c>
      <c r="H8" s="3" t="n">
        <v>206907</v>
      </c>
      <c r="I8" s="3" t="n">
        <v>136987</v>
      </c>
      <c r="J8" s="3" t="n">
        <v>152254</v>
      </c>
      <c r="K8" s="3" t="n">
        <v>132942</v>
      </c>
      <c r="L8" s="3" t="n">
        <v>107479</v>
      </c>
      <c r="M8" s="3" t="n">
        <v>102568</v>
      </c>
      <c r="N8" s="3" t="n">
        <v>122528</v>
      </c>
      <c r="O8" s="3" t="n">
        <v>162693</v>
      </c>
      <c r="P8" s="3" t="n">
        <v>129357.35</v>
      </c>
      <c r="Q8" s="3" t="n">
        <v>166275.01</v>
      </c>
      <c r="R8" s="3" t="n">
        <v>1817738.67</v>
      </c>
    </row>
    <row r="9">
      <c r="A9" t="inlineStr">
        <is>
          <t>Monthly sheet</t>
        </is>
      </c>
      <c r="B9" t="inlineStr">
        <is>
          <t>Staff Qualification And Education: benefits, bonus, end-of-service, training → SWDoc</t>
        </is>
      </c>
      <c r="C9" t="inlineStr">
        <is>
          <t>SWDoc</t>
        </is>
      </c>
      <c r="D9" t="inlineStr">
        <is>
          <t>Direct — dental surgeries (dentists' on-costs)</t>
        </is>
      </c>
      <c r="E9" t="inlineStr">
        <is>
          <t>staff on-cost; monthly salary key (Direct Dr); ruling 13 Oct 2026, Option 3</t>
        </is>
      </c>
      <c r="F9" s="3" t="n">
        <v>19052.18</v>
      </c>
      <c r="G9" s="3" t="n">
        <v>9597.66</v>
      </c>
      <c r="H9" s="3" t="n">
        <v>30348.52</v>
      </c>
      <c r="I9" s="3" t="n">
        <v>23004.85</v>
      </c>
      <c r="J9" s="3" t="n">
        <v>33152.46</v>
      </c>
      <c r="K9" s="3" t="n">
        <v>89856.97</v>
      </c>
      <c r="L9" s="3" t="n">
        <v>54367.39</v>
      </c>
      <c r="M9" s="3" t="n">
        <v>48235.17</v>
      </c>
      <c r="N9" s="3" t="n">
        <v>44987.84</v>
      </c>
      <c r="O9" s="3" t="n">
        <v>54335.9</v>
      </c>
      <c r="P9" s="3" t="n">
        <v>24680.75</v>
      </c>
      <c r="Q9" s="3" t="n">
        <v>76389.19</v>
      </c>
      <c r="R9" s="3" t="n">
        <v>508008.88</v>
      </c>
    </row>
    <row r="10">
      <c r="A10" t="inlineStr">
        <is>
          <t>Monthly sheet</t>
        </is>
      </c>
      <c r="B10" t="inlineStr">
        <is>
          <t>Legal &amp; Professional Expenses: visas, work permits, labour cards → SWDoc</t>
        </is>
      </c>
      <c r="C10" t="inlineStr">
        <is>
          <t>SWDoc</t>
        </is>
      </c>
      <c r="D10" t="inlineStr">
        <is>
          <t>Direct — dental surgeries (dentists' on-costs)</t>
        </is>
      </c>
      <c r="E10" t="inlineStr">
        <is>
          <t>staff on-cost; monthly headcount key (Direct Dr); ruling 13 Oct 2026, Option 3</t>
        </is>
      </c>
      <c r="F10" s="3" t="n">
        <v>6681.41</v>
      </c>
      <c r="G10" s="3" t="n">
        <v>2298.39</v>
      </c>
      <c r="H10" s="3" t="n">
        <v>1783.42</v>
      </c>
      <c r="I10" s="3" t="n">
        <v>1532.43</v>
      </c>
      <c r="J10" s="3" t="n">
        <v>2680.45</v>
      </c>
      <c r="K10" s="3" t="n">
        <v>5041.87</v>
      </c>
      <c r="L10" s="3" t="n">
        <v>1622.03</v>
      </c>
      <c r="M10" s="3" t="n">
        <v>2759.87</v>
      </c>
      <c r="N10" s="3" t="n">
        <v>2415.89</v>
      </c>
      <c r="O10" s="3" t="n">
        <v>1611.14</v>
      </c>
      <c r="P10" s="3" t="n">
        <v>2509.13</v>
      </c>
      <c r="Q10" s="3" t="n">
        <v>2103.55</v>
      </c>
      <c r="R10" s="3" t="n">
        <v>33039.58</v>
      </c>
    </row>
    <row r="11">
      <c r="A11" t="inlineStr">
        <is>
          <t>Monthly sheet</t>
        </is>
      </c>
      <c r="B11" t="inlineStr">
        <is>
          <t>Legal &amp; Professional Expenses: clinician licences (DOH, Dataflow, CME) → SWDoc</t>
        </is>
      </c>
      <c r="C11" t="inlineStr">
        <is>
          <t>SWDoc</t>
        </is>
      </c>
      <c r="D11" t="inlineStr">
        <is>
          <t>Direct — dental surgeries (dentists' on-costs)</t>
        </is>
      </c>
      <c r="E11" t="inlineStr">
        <is>
          <t>staff on-cost; monthly licensed key (Direct Dr); ruling 13 Oct 2026, Option 3</t>
        </is>
      </c>
      <c r="F11" s="3" t="n">
        <v>3754.82</v>
      </c>
      <c r="G11" s="3" t="n">
        <v>1142.09</v>
      </c>
      <c r="H11" s="3" t="n">
        <v>1054.99</v>
      </c>
      <c r="I11" s="3" t="n">
        <v>1036.03</v>
      </c>
      <c r="J11" s="3" t="n">
        <v>1744.21</v>
      </c>
      <c r="K11" s="3" t="n">
        <v>3408.65</v>
      </c>
      <c r="L11" s="3" t="n">
        <v>1103.46</v>
      </c>
      <c r="M11" s="3" t="n">
        <v>1877.52</v>
      </c>
      <c r="N11" s="3" t="n">
        <v>1796.64</v>
      </c>
      <c r="O11" s="3" t="n">
        <v>1143.71</v>
      </c>
      <c r="P11" s="3" t="n">
        <v>1781.16</v>
      </c>
      <c r="Q11" s="3" t="n">
        <v>1555.47</v>
      </c>
      <c r="R11" s="3" t="n">
        <v>21398.75</v>
      </c>
    </row>
    <row r="12">
      <c r="A12" t="inlineStr">
        <is>
          <t>Monthly sheet</t>
        </is>
      </c>
      <c r="B12" t="inlineStr">
        <is>
          <t>Insurance: staff medical insurance → SWDoc</t>
        </is>
      </c>
      <c r="C12" t="inlineStr">
        <is>
          <t>SWDoc</t>
        </is>
      </c>
      <c r="D12" t="inlineStr">
        <is>
          <t>Direct — dental surgeries (dentists' on-costs)</t>
        </is>
      </c>
      <c r="E12" t="inlineStr">
        <is>
          <t>staff on-cost; monthly headcount key (Direct Dr); ruling 13 Oct 2026, Option 3</t>
        </is>
      </c>
      <c r="F12" s="3" t="n">
        <v>1563</v>
      </c>
      <c r="G12" s="3" t="n">
        <v>1991.55</v>
      </c>
      <c r="H12" s="3" t="n">
        <v>1493.66</v>
      </c>
      <c r="I12" s="3" t="n">
        <v>1194.93</v>
      </c>
      <c r="J12" s="3" t="n">
        <v>1362.68</v>
      </c>
      <c r="K12" s="3" t="n">
        <v>1199.16</v>
      </c>
      <c r="L12" s="3" t="n">
        <v>992.1799999999999</v>
      </c>
      <c r="M12" s="3" t="n">
        <v>398.5</v>
      </c>
      <c r="N12" s="3" t="n">
        <v>448.73</v>
      </c>
      <c r="O12" s="3" t="n">
        <v>411.34</v>
      </c>
      <c r="P12" s="3" t="n">
        <v>424.67</v>
      </c>
      <c r="Q12" s="3" t="n">
        <v>433.98</v>
      </c>
      <c r="R12" s="3" t="n">
        <v>11914.38</v>
      </c>
    </row>
    <row r="13">
      <c r="A13" t="inlineStr">
        <is>
          <t>Salary sheet</t>
        </is>
      </c>
      <c r="B13" t="inlineStr">
        <is>
          <t>Salaries &amp; Wages: Cssd</t>
        </is>
      </c>
      <c r="C13" t="inlineStr">
        <is>
          <t>SWAllied</t>
        </is>
      </c>
      <c r="D13" t="inlineStr">
        <is>
          <t>Direct — CSSD (cost centre 07)</t>
        </is>
      </c>
      <c r="E13" t="inlineStr">
        <is>
          <t>sterilisation technicians</t>
        </is>
      </c>
      <c r="F13" s="3" t="n">
        <v>7000</v>
      </c>
      <c r="G13" s="3" t="n">
        <v>7000</v>
      </c>
      <c r="H13" s="3" t="n">
        <v>7000</v>
      </c>
      <c r="I13" s="3" t="n">
        <v>6500</v>
      </c>
      <c r="J13" s="3" t="n">
        <v>7000</v>
      </c>
      <c r="K13" s="3" t="n">
        <v>7000</v>
      </c>
      <c r="L13" s="3" t="n">
        <v>7000</v>
      </c>
      <c r="M13" s="3" t="n">
        <v>7000</v>
      </c>
      <c r="N13" s="3" t="n">
        <v>7500</v>
      </c>
      <c r="O13" s="3" t="n">
        <v>7500</v>
      </c>
      <c r="P13" s="3" t="n">
        <v>7500</v>
      </c>
      <c r="Q13" s="3" t="n">
        <v>8000</v>
      </c>
      <c r="R13" s="3" t="n">
        <v>86000</v>
      </c>
    </row>
    <row r="14">
      <c r="A14" t="inlineStr">
        <is>
          <t>Salary sheet</t>
        </is>
      </c>
      <c r="B14" t="inlineStr">
        <is>
          <t>Salaries &amp; Wages: Indirect/LAB</t>
        </is>
      </c>
      <c r="C14" t="inlineStr">
        <is>
          <t>SWAllied</t>
        </is>
      </c>
      <c r="D14" t="inlineStr">
        <is>
          <t>Direct — prostheses (cost centre 09, in-house CAD/CAM)</t>
        </is>
      </c>
      <c r="E14" t="inlineStr">
        <is>
          <t>dental technicians making prostheses; routed to the Prosthesis bucket on prosthesis claims (ruling 13 Oct 2026)</t>
        </is>
      </c>
      <c r="F14" s="3" t="n">
        <v>7150</v>
      </c>
      <c r="G14" s="3" t="n">
        <v>5610</v>
      </c>
      <c r="H14" s="3" t="n">
        <v>5629</v>
      </c>
      <c r="I14" s="3" t="n">
        <v>3045</v>
      </c>
      <c r="J14" s="3" t="n">
        <v>5045.69</v>
      </c>
      <c r="K14" s="3" t="n">
        <v>0</v>
      </c>
      <c r="L14" s="3" t="n">
        <v>3700</v>
      </c>
      <c r="M14" s="3" t="n">
        <v>7797</v>
      </c>
      <c r="N14" s="3" t="n">
        <v>7000</v>
      </c>
      <c r="O14" s="3" t="n">
        <v>4840.34</v>
      </c>
      <c r="P14" s="3" t="n">
        <v>7685.48</v>
      </c>
      <c r="Q14" s="3" t="n">
        <v>12317.75</v>
      </c>
      <c r="R14" s="3" t="n">
        <v>69820.25999999999</v>
      </c>
    </row>
    <row r="15">
      <c r="A15" t="inlineStr">
        <is>
          <t>Monthly sheet</t>
        </is>
      </c>
      <c r="B15" t="inlineStr">
        <is>
          <t>Staff Qualification And Education: benefits, bonus, end-of-service, training → SWAllied</t>
        </is>
      </c>
      <c r="C15" t="inlineStr">
        <is>
          <t>SWAllied</t>
        </is>
      </c>
      <c r="D15" t="inlineStr">
        <is>
          <t>Direct — CSSD / prostheses (technicians' on-costs)</t>
        </is>
      </c>
      <c r="E15" t="inlineStr">
        <is>
          <t>staff on-cost; monthly salary key (Cssd, Indirect/LAB); ruling 13 Oct 2026, Option 3</t>
        </is>
      </c>
      <c r="F15" s="3" t="n">
        <v>1568.56</v>
      </c>
      <c r="G15" s="3" t="n">
        <v>535.8</v>
      </c>
      <c r="H15" s="3" t="n">
        <v>1852.39</v>
      </c>
      <c r="I15" s="3" t="n">
        <v>1602.94</v>
      </c>
      <c r="J15" s="3" t="n">
        <v>2622.88</v>
      </c>
      <c r="K15" s="3" t="n">
        <v>4731.38</v>
      </c>
      <c r="L15" s="3" t="n">
        <v>5412.51</v>
      </c>
      <c r="M15" s="3" t="n">
        <v>6958.66</v>
      </c>
      <c r="N15" s="3" t="n">
        <v>5323.87</v>
      </c>
      <c r="O15" s="3" t="n">
        <v>4121.4</v>
      </c>
      <c r="P15" s="3" t="n">
        <v>2897.31</v>
      </c>
      <c r="Q15" s="3" t="n">
        <v>9334.27</v>
      </c>
      <c r="R15" s="3" t="n">
        <v>46961.97</v>
      </c>
    </row>
    <row r="16">
      <c r="A16" t="inlineStr">
        <is>
          <t>Monthly sheet</t>
        </is>
      </c>
      <c r="B16" t="inlineStr">
        <is>
          <t>Legal &amp; Professional Expenses: visas, work permits, labour cards → SWAllied</t>
        </is>
      </c>
      <c r="C16" t="inlineStr">
        <is>
          <t>SWAllied</t>
        </is>
      </c>
      <c r="D16" t="inlineStr">
        <is>
          <t>Direct — CSSD / prostheses (technicians' on-costs)</t>
        </is>
      </c>
      <c r="E16" t="inlineStr">
        <is>
          <t>staff on-cost; monthly headcount key (Cssd, Indirect/LAB); ruling 13 Oct 2026, Option 3</t>
        </is>
      </c>
      <c r="F16" s="3" t="n">
        <v>4008.84</v>
      </c>
      <c r="G16" s="3" t="n">
        <v>985.02</v>
      </c>
      <c r="H16" s="3" t="n">
        <v>1070.05</v>
      </c>
      <c r="I16" s="3" t="n">
        <v>1149.32</v>
      </c>
      <c r="J16" s="3" t="n">
        <v>1608.27</v>
      </c>
      <c r="K16" s="3" t="n">
        <v>2520.94</v>
      </c>
      <c r="L16" s="3" t="n">
        <v>1297.62</v>
      </c>
      <c r="M16" s="3" t="n">
        <v>2207.9</v>
      </c>
      <c r="N16" s="3" t="n">
        <v>1932.71</v>
      </c>
      <c r="O16" s="3" t="n">
        <v>1288.92</v>
      </c>
      <c r="P16" s="3" t="n">
        <v>2007.3</v>
      </c>
      <c r="Q16" s="3" t="n">
        <v>2103.55</v>
      </c>
      <c r="R16" s="3" t="n">
        <v>22180.44</v>
      </c>
    </row>
    <row r="17">
      <c r="A17" t="inlineStr">
        <is>
          <t>Monthly sheet</t>
        </is>
      </c>
      <c r="B17" t="inlineStr">
        <is>
          <t>Insurance: staff medical insurance → SWAllied</t>
        </is>
      </c>
      <c r="C17" t="inlineStr">
        <is>
          <t>SWAllied</t>
        </is>
      </c>
      <c r="D17" t="inlineStr">
        <is>
          <t>Direct — CSSD / prostheses (technicians' on-costs)</t>
        </is>
      </c>
      <c r="E17" t="inlineStr">
        <is>
          <t>staff on-cost; monthly headcount key (Cssd, Indirect/LAB); ruling 13 Oct 2026, Option 3</t>
        </is>
      </c>
      <c r="F17" s="3" t="n">
        <v>937.8</v>
      </c>
      <c r="G17" s="3" t="n">
        <v>853.52</v>
      </c>
      <c r="H17" s="3" t="n">
        <v>896.2</v>
      </c>
      <c r="I17" s="3" t="n">
        <v>896.2</v>
      </c>
      <c r="J17" s="3" t="n">
        <v>817.61</v>
      </c>
      <c r="K17" s="3" t="n">
        <v>599.58</v>
      </c>
      <c r="L17" s="3" t="n">
        <v>793.74</v>
      </c>
      <c r="M17" s="3" t="n">
        <v>318.8</v>
      </c>
      <c r="N17" s="3" t="n">
        <v>358.99</v>
      </c>
      <c r="O17" s="3" t="n">
        <v>329.07</v>
      </c>
      <c r="P17" s="3" t="n">
        <v>339.74</v>
      </c>
      <c r="Q17" s="3" t="n">
        <v>433.98</v>
      </c>
      <c r="R17" s="3" t="n">
        <v>7575.23</v>
      </c>
    </row>
    <row r="18">
      <c r="A18" t="inlineStr">
        <is>
          <t>Stock movement</t>
        </is>
      </c>
      <c r="B18" t="inlineStr">
        <is>
          <t>Cost of Goods Sold (M01, M02, M03, M04, M05, M06, M07, M08, M09, M10, M11, M12): Pharmacy</t>
        </is>
      </c>
      <c r="C18" t="inlineStr">
        <is>
          <t>Pharmacy</t>
        </is>
      </c>
      <c r="D18" t="inlineStr">
        <is>
          <t>Direct — dental surgeries</t>
        </is>
      </c>
      <c r="E18" t="inlineStr">
        <is>
          <t>local anaesthetic cartridges, nitrous oxide and oxygen</t>
        </is>
      </c>
      <c r="F18" s="3" t="n">
        <v>1252</v>
      </c>
      <c r="G18" s="3" t="n">
        <v>1097</v>
      </c>
      <c r="H18" s="3" t="n">
        <v>1063.15</v>
      </c>
      <c r="I18" s="3" t="n">
        <v>1063.15</v>
      </c>
      <c r="J18" s="3" t="n">
        <v>1152</v>
      </c>
      <c r="K18" s="3" t="n">
        <v>1014</v>
      </c>
      <c r="L18" s="3" t="n">
        <v>1506</v>
      </c>
      <c r="M18" s="3" t="n">
        <v>1359</v>
      </c>
      <c r="N18" s="3" t="n">
        <v>2243.5</v>
      </c>
      <c r="O18" s="3" t="n">
        <v>1145.54</v>
      </c>
      <c r="P18" s="3" t="n">
        <v>1203.75</v>
      </c>
      <c r="Q18" s="3" t="n">
        <v>782.9</v>
      </c>
      <c r="R18" s="3" t="n">
        <v>14881.99</v>
      </c>
    </row>
    <row r="19">
      <c r="A19" t="inlineStr">
        <is>
          <t>Stock movement</t>
        </is>
      </c>
      <c r="B19" t="inlineStr">
        <is>
          <t>Cost of Goods Sold (M01, M02, M03, M04, M05, M06, M07, M08, M09, M10, M11, M12): Prostheses</t>
        </is>
      </c>
      <c r="C19" t="inlineStr">
        <is>
          <t>Prostheses</t>
        </is>
      </c>
      <c r="D19" t="inlineStr">
        <is>
          <t>Direct — prostheses (implants + in-house lab + external lab)</t>
        </is>
      </c>
      <c r="E19" t="inlineStr">
        <is>
          <t>implant fixtures (net of internal returns), healing/cover screws, abutments, implant impression tools, bone-graft materials; in-house CAD/CAM materials (blocks, blanks, 3D inks, stone, milling tools); external lab invoices</t>
        </is>
      </c>
      <c r="F19" s="3" t="n">
        <v>68204.94</v>
      </c>
      <c r="G19" s="3" t="n">
        <v>59029.44</v>
      </c>
      <c r="H19" s="3" t="n">
        <v>71721.42</v>
      </c>
      <c r="I19" s="3" t="n">
        <v>66171.42</v>
      </c>
      <c r="J19" s="3" t="n">
        <v>56214.05</v>
      </c>
      <c r="K19" s="3" t="n">
        <v>53007.03</v>
      </c>
      <c r="L19" s="3" t="n">
        <v>41254.6</v>
      </c>
      <c r="M19" s="3" t="n">
        <v>63607.98</v>
      </c>
      <c r="N19" s="3" t="n">
        <v>56452.32</v>
      </c>
      <c r="O19" s="3" t="n">
        <v>48575.36</v>
      </c>
      <c r="P19" s="3" t="n">
        <v>43331.7</v>
      </c>
      <c r="Q19" s="3" t="n">
        <v>56754.73</v>
      </c>
      <c r="R19" s="3" t="n">
        <v>684324.99</v>
      </c>
    </row>
    <row r="20">
      <c r="A20" t="inlineStr">
        <is>
          <t>Monthly sheet</t>
        </is>
      </c>
      <c r="B20" t="inlineStr">
        <is>
          <t>External Lab</t>
        </is>
      </c>
      <c r="C20" t="inlineStr">
        <is>
          <t>Prostheses</t>
        </is>
      </c>
      <c r="D20" t="inlineStr">
        <is>
          <t>Direct — prostheses</t>
        </is>
      </c>
      <c r="E20" t="inlineStr">
        <is>
          <t>outsourced dental laboratory invoices (expense head) — prostheses bought from external labs (ruling 13 Oct 2026)</t>
        </is>
      </c>
      <c r="F20" s="3" t="n">
        <v>1870</v>
      </c>
      <c r="G20" s="3" t="n">
        <v>200</v>
      </c>
      <c r="H20" s="3" t="n">
        <v>16430</v>
      </c>
      <c r="I20" s="3" t="n">
        <v>4288</v>
      </c>
      <c r="J20" s="3" t="n">
        <v>7425</v>
      </c>
      <c r="K20" s="3" t="n">
        <v>0</v>
      </c>
      <c r="L20" s="3" t="n">
        <v>5270</v>
      </c>
      <c r="M20" s="3" t="n">
        <v>6381</v>
      </c>
      <c r="N20" s="3" t="n">
        <v>1150</v>
      </c>
      <c r="O20" s="3" t="n">
        <v>950</v>
      </c>
      <c r="P20" s="3" t="n">
        <v>10595</v>
      </c>
      <c r="Q20" s="3" t="n">
        <v>12186.25</v>
      </c>
      <c r="R20" s="3" t="n">
        <v>66745.25</v>
      </c>
    </row>
    <row r="21">
      <c r="A21" t="inlineStr">
        <is>
          <t>Consumption sheet</t>
        </is>
      </c>
      <c r="B21" t="inlineStr">
        <is>
          <t>Cost of Goods Sold: Internal LAB</t>
        </is>
      </c>
      <c r="C21" t="inlineStr">
        <is>
          <t>Prostheses</t>
        </is>
      </c>
      <c r="D21" t="inlineStr">
        <is>
          <t>Direct — prostheses</t>
        </is>
      </c>
      <c r="E21" t="inlineStr">
        <is>
          <t>in-house CAD/CAM prosthesis materials (ruling 13 Oct 2026: no laboratory; prostheses)</t>
        </is>
      </c>
      <c r="F21" s="3" t="n">
        <v>0</v>
      </c>
      <c r="G21" s="3" t="n">
        <v>0</v>
      </c>
      <c r="H21" s="3" t="n">
        <v>0</v>
      </c>
      <c r="I21" s="3" t="n">
        <v>0</v>
      </c>
      <c r="J21" s="3" t="n">
        <v>0</v>
      </c>
      <c r="K21" s="3" t="n">
        <v>0</v>
      </c>
      <c r="L21" s="3" t="n">
        <v>0</v>
      </c>
      <c r="M21" s="3" t="n">
        <v>0</v>
      </c>
      <c r="N21" s="3" t="n">
        <v>0</v>
      </c>
      <c r="O21" s="3" t="n">
        <v>0</v>
      </c>
      <c r="P21" s="3" t="n">
        <v>0</v>
      </c>
      <c r="Q21" s="3" t="n">
        <v>0</v>
      </c>
      <c r="R21" s="3" t="n">
        <v>0</v>
      </c>
    </row>
    <row r="22">
      <c r="A22" t="inlineStr">
        <is>
          <t>Consumption sheet</t>
        </is>
      </c>
      <c r="B22" t="inlineStr">
        <is>
          <t>Cost of Goods Sold: External LAB</t>
        </is>
      </c>
      <c r="C22" t="inlineStr">
        <is>
          <t>Prostheses</t>
        </is>
      </c>
      <c r="D22" t="inlineStr">
        <is>
          <t>Direct — prostheses</t>
        </is>
      </c>
      <c r="E22" t="inlineStr">
        <is>
          <t>prostheses bought from external laboratories, booked in cost of goods sold</t>
        </is>
      </c>
      <c r="F22" s="3" t="n">
        <v>0</v>
      </c>
      <c r="G22" s="3" t="n">
        <v>0</v>
      </c>
      <c r="H22" s="3" t="n">
        <v>0</v>
      </c>
      <c r="I22" s="3" t="n">
        <v>0</v>
      </c>
      <c r="J22" s="3" t="n">
        <v>0</v>
      </c>
      <c r="K22" s="3" t="n">
        <v>0</v>
      </c>
      <c r="L22" s="3" t="n">
        <v>0</v>
      </c>
      <c r="M22" s="3" t="n">
        <v>0</v>
      </c>
      <c r="N22" s="3" t="n">
        <v>0</v>
      </c>
      <c r="O22" s="3" t="n">
        <v>0</v>
      </c>
      <c r="P22" s="3" t="n">
        <v>0</v>
      </c>
      <c r="Q22" s="3" t="n">
        <v>0</v>
      </c>
      <c r="R22" s="3" t="n">
        <v>0</v>
      </c>
    </row>
    <row r="23">
      <c r="A23" t="inlineStr">
        <is>
          <t>Stock movement</t>
        </is>
      </c>
      <c r="B23" t="inlineStr">
        <is>
          <t>Cost of Goods Sold (M01, M02, M03, M04, M05, M06, M07, M08, M09, M10, M11, M12): MS</t>
        </is>
      </c>
      <c r="C23" t="inlineStr">
        <is>
          <t>MS</t>
        </is>
      </c>
      <c r="D23" t="inlineStr">
        <is>
          <t>Direct — dental surgeries / CSSD</t>
        </is>
      </c>
      <c r="E23" t="inlineStr">
        <is>
          <t>restorative, endodontic, burs, impression, bleaching, surgical, infection-control supplies, needles/syringes, hand instruments</t>
        </is>
      </c>
      <c r="F23" s="3" t="n">
        <v>31662.75</v>
      </c>
      <c r="G23" s="3" t="n">
        <v>28366.96</v>
      </c>
      <c r="H23" s="3" t="n">
        <v>30966.43</v>
      </c>
      <c r="I23" s="3" t="n">
        <v>30966.43</v>
      </c>
      <c r="J23" s="3" t="n">
        <v>24043.48</v>
      </c>
      <c r="K23" s="3" t="n">
        <v>23064.38</v>
      </c>
      <c r="L23" s="3" t="n">
        <v>26049.57</v>
      </c>
      <c r="M23" s="3" t="n">
        <v>30284.7</v>
      </c>
      <c r="N23" s="3" t="n">
        <v>25239.34</v>
      </c>
      <c r="O23" s="3" t="n">
        <v>25007.41</v>
      </c>
      <c r="P23" s="3" t="n">
        <v>25059.69</v>
      </c>
      <c r="Q23" s="3" t="n">
        <v>23384.86</v>
      </c>
      <c r="R23" s="3" t="n">
        <v>324096</v>
      </c>
    </row>
    <row r="24">
      <c r="A24" t="inlineStr">
        <is>
          <t>Consumption sheet</t>
        </is>
      </c>
      <c r="B24" t="inlineStr">
        <is>
          <t>Cost of Goods Sold: Consumables -( Dr</t>
        </is>
      </c>
      <c r="C24" t="inlineStr">
        <is>
          <t>MS</t>
        </is>
      </c>
      <c r="D24" t="inlineStr">
        <is>
          <t>Direct — dental surgeries</t>
        </is>
      </c>
      <c r="E24" t="inlineStr">
        <is>
          <t>clinical consumables issued to the dental surgeries</t>
        </is>
      </c>
      <c r="F24" s="3" t="n">
        <v>0</v>
      </c>
      <c r="G24" s="3" t="n">
        <v>0</v>
      </c>
      <c r="H24" s="3" t="n">
        <v>0</v>
      </c>
      <c r="I24" s="3" t="n">
        <v>0</v>
      </c>
      <c r="J24" s="3" t="n">
        <v>0</v>
      </c>
      <c r="K24" s="3" t="n">
        <v>0</v>
      </c>
      <c r="L24" s="3" t="n">
        <v>0</v>
      </c>
      <c r="M24" s="3" t="n">
        <v>0</v>
      </c>
      <c r="N24" s="3" t="n">
        <v>0</v>
      </c>
      <c r="O24" s="3" t="n">
        <v>0</v>
      </c>
      <c r="P24" s="3" t="n">
        <v>0</v>
      </c>
      <c r="Q24" s="3" t="n">
        <v>0</v>
      </c>
      <c r="R24" s="3" t="n">
        <v>0</v>
      </c>
    </row>
    <row r="25">
      <c r="A25" t="inlineStr">
        <is>
          <t>Consumption sheet</t>
        </is>
      </c>
      <c r="B25" t="inlineStr">
        <is>
          <t>Cost of Goods Sold: Consumables -  ( CSSD</t>
        </is>
      </c>
      <c r="C25" t="inlineStr">
        <is>
          <t>MS</t>
        </is>
      </c>
      <c r="D25" t="inlineStr">
        <is>
          <t>Direct — CSSD</t>
        </is>
      </c>
      <c r="E25" t="inlineStr">
        <is>
          <t>sterilisation and vital-signs consumables</t>
        </is>
      </c>
      <c r="F25" s="3" t="n">
        <v>0</v>
      </c>
      <c r="G25" s="3" t="n">
        <v>0</v>
      </c>
      <c r="H25" s="3" t="n">
        <v>0</v>
      </c>
      <c r="I25" s="3" t="n">
        <v>0</v>
      </c>
      <c r="J25" s="3" t="n">
        <v>0</v>
      </c>
      <c r="K25" s="3" t="n">
        <v>0</v>
      </c>
      <c r="L25" s="3" t="n">
        <v>0</v>
      </c>
      <c r="M25" s="3" t="n">
        <v>0</v>
      </c>
      <c r="N25" s="3" t="n">
        <v>0</v>
      </c>
      <c r="O25" s="3" t="n">
        <v>0</v>
      </c>
      <c r="P25" s="3" t="n">
        <v>0</v>
      </c>
      <c r="Q25" s="3" t="n">
        <v>0</v>
      </c>
      <c r="R25" s="3" t="n">
        <v>0</v>
      </c>
    </row>
    <row r="26">
      <c r="A26" t="inlineStr">
        <is>
          <t>Monthly sheet</t>
        </is>
      </c>
      <c r="B26" t="inlineStr">
        <is>
          <t>Equipment Maintenanace</t>
        </is>
      </c>
      <c r="C26" t="inlineStr">
        <is>
          <t>GS</t>
        </is>
      </c>
      <c r="D26" t="inlineStr">
        <is>
          <t>Direct — dental surgeries</t>
        </is>
      </c>
      <c r="E26" t="inlineStr">
        <is>
          <t>maintenance of dental chairs and clinical equipment</t>
        </is>
      </c>
      <c r="F26" s="3" t="n">
        <v>1000</v>
      </c>
      <c r="G26" s="3" t="n">
        <v>2258.57</v>
      </c>
      <c r="H26" s="3" t="n">
        <v>0</v>
      </c>
      <c r="I26" s="3" t="n">
        <v>830</v>
      </c>
      <c r="J26" s="3" t="n">
        <v>0</v>
      </c>
      <c r="K26" s="3" t="n">
        <v>0</v>
      </c>
      <c r="L26" s="3" t="n">
        <v>0</v>
      </c>
      <c r="M26" s="3" t="n">
        <v>0</v>
      </c>
      <c r="N26" s="3" t="n">
        <v>0</v>
      </c>
      <c r="O26" s="3" t="n">
        <v>1350</v>
      </c>
      <c r="P26" s="3" t="n">
        <v>0</v>
      </c>
      <c r="Q26" s="3" t="n">
        <v>200</v>
      </c>
      <c r="R26" s="3" t="n">
        <v>5638.57</v>
      </c>
    </row>
    <row r="27">
      <c r="A27" t="inlineStr">
        <is>
          <t>TB depreciation</t>
        </is>
      </c>
      <c r="B27" t="inlineStr">
        <is>
          <t>Depreciation: Machinery &amp; Equipment</t>
        </is>
      </c>
      <c r="C27" t="inlineStr">
        <is>
          <t>Depreciation</t>
        </is>
      </c>
      <c r="D27" t="inlineStr">
        <is>
          <t>Direct — dental surgeries / imaging</t>
        </is>
      </c>
      <c r="E27" t="inlineStr">
        <is>
          <t>dental chairs, imaging units, autoclaves (2025 charge 126,679.42)</t>
        </is>
      </c>
      <c r="F27" s="3" t="n">
        <v>10556.61</v>
      </c>
      <c r="G27" s="3" t="n">
        <v>10556.61</v>
      </c>
      <c r="H27" s="3" t="n">
        <v>10556.61</v>
      </c>
      <c r="I27" s="3" t="n">
        <v>10556.61</v>
      </c>
      <c r="J27" s="3" t="n">
        <v>10556.61</v>
      </c>
      <c r="K27" s="3" t="n">
        <v>10556.61</v>
      </c>
      <c r="L27" s="3" t="n">
        <v>10556.61</v>
      </c>
      <c r="M27" s="3" t="n">
        <v>10556.61</v>
      </c>
      <c r="N27" s="3" t="n">
        <v>10556.61</v>
      </c>
      <c r="O27" s="3" t="n">
        <v>10556.61</v>
      </c>
      <c r="P27" s="3" t="n">
        <v>10556.61</v>
      </c>
      <c r="Q27" s="3" t="n">
        <v>10556.61</v>
      </c>
      <c r="R27" s="3" t="n">
        <v>126679.32</v>
      </c>
    </row>
    <row r="28">
      <c r="A28" t="inlineStr">
        <is>
          <t>Salary sheet</t>
        </is>
      </c>
      <c r="B28" t="inlineStr">
        <is>
          <t>Salaries &amp; Wages: Indirect /Management</t>
        </is>
      </c>
      <c r="C28" t="inlineStr">
        <is>
          <t>OHF</t>
        </is>
      </c>
      <c r="D28" t="inlineStr">
        <is>
          <t>Overhead — management</t>
        </is>
      </c>
      <c r="E28" t="inlineStr">
        <is>
          <t>clinic management</t>
        </is>
      </c>
      <c r="F28" s="3" t="n">
        <v>20000</v>
      </c>
      <c r="G28" s="3" t="n">
        <v>20000</v>
      </c>
      <c r="H28" s="3" t="n">
        <v>20000</v>
      </c>
      <c r="I28" s="3" t="n">
        <v>28000</v>
      </c>
      <c r="J28" s="3" t="n">
        <v>27000</v>
      </c>
      <c r="K28" s="3" t="n">
        <v>27000</v>
      </c>
      <c r="L28" s="3" t="n">
        <v>28000</v>
      </c>
      <c r="M28" s="3" t="n">
        <v>28000</v>
      </c>
      <c r="N28" s="3" t="n">
        <v>28000</v>
      </c>
      <c r="O28" s="3" t="n">
        <v>28000</v>
      </c>
      <c r="P28" s="3" t="n">
        <v>28000</v>
      </c>
      <c r="Q28" s="3" t="n">
        <v>28000</v>
      </c>
      <c r="R28" s="3" t="n">
        <v>310000</v>
      </c>
    </row>
    <row r="29">
      <c r="A29" t="inlineStr">
        <is>
          <t>Monthly sheet</t>
        </is>
      </c>
      <c r="B29" t="inlineStr">
        <is>
          <t>Staff Qualification And Education: benefits, bonus, end-of-service, training → OHF</t>
        </is>
      </c>
      <c r="C29" t="inlineStr">
        <is>
          <t>OHF</t>
        </is>
      </c>
      <c r="D29" t="inlineStr">
        <is>
          <t>Overhead — back-office staff on-costs</t>
        </is>
      </c>
      <c r="E29" t="inlineStr">
        <is>
          <t>staff on-cost; monthly salary key (Indirect/RAP, Indirect /INS, Indirect /Management, Indirect /Purchase, Indirect/Accounts, Indirect it, Indirect/ Hr); ruling 13 Oct 2026, Option 3</t>
        </is>
      </c>
      <c r="F29" s="3" t="n">
        <v>5059.63</v>
      </c>
      <c r="G29" s="3" t="n">
        <v>1944.15</v>
      </c>
      <c r="H29" s="3" t="n">
        <v>7671.07</v>
      </c>
      <c r="I29" s="3" t="n">
        <v>9824.17</v>
      </c>
      <c r="J29" s="3" t="n">
        <v>13416.1</v>
      </c>
      <c r="K29" s="3" t="n">
        <v>40888.57</v>
      </c>
      <c r="L29" s="3" t="n">
        <v>31839.21</v>
      </c>
      <c r="M29" s="3" t="n">
        <v>29319.77</v>
      </c>
      <c r="N29" s="3" t="n">
        <v>23184.18</v>
      </c>
      <c r="O29" s="3" t="n">
        <v>23316.35</v>
      </c>
      <c r="P29" s="3" t="n">
        <v>13433.69</v>
      </c>
      <c r="Q29" s="3" t="n">
        <v>32950.18</v>
      </c>
      <c r="R29" s="3" t="n">
        <v>232847.07</v>
      </c>
    </row>
    <row r="30">
      <c r="A30" t="inlineStr">
        <is>
          <t>Salary sheet</t>
        </is>
      </c>
      <c r="B30" t="inlineStr">
        <is>
          <t>Salaries &amp; Wages: Indirect/RAP</t>
        </is>
      </c>
      <c r="C30" t="inlineStr">
        <is>
          <t>OHF</t>
        </is>
      </c>
      <c r="D30" t="inlineStr">
        <is>
          <t>Overhead — reception / patient administration</t>
        </is>
      </c>
      <c r="E30" t="inlineStr">
        <is>
          <t>reception and patient-administration staff</t>
        </is>
      </c>
      <c r="F30" s="3" t="n">
        <v>11598</v>
      </c>
      <c r="G30" s="3" t="n">
        <v>12400</v>
      </c>
      <c r="H30" s="3" t="n">
        <v>12232</v>
      </c>
      <c r="I30" s="3" t="n">
        <v>10000</v>
      </c>
      <c r="J30" s="3" t="n">
        <v>14200</v>
      </c>
      <c r="K30" s="3" t="n">
        <v>13700</v>
      </c>
      <c r="L30" s="3" t="n">
        <v>13669</v>
      </c>
      <c r="M30" s="3" t="n">
        <v>14500</v>
      </c>
      <c r="N30" s="3" t="n">
        <v>15000</v>
      </c>
      <c r="O30" s="3" t="n">
        <v>21550</v>
      </c>
      <c r="P30" s="3" t="n">
        <v>21759</v>
      </c>
      <c r="Q30" s="3" t="n">
        <v>22125</v>
      </c>
      <c r="R30" s="3" t="n">
        <v>182733</v>
      </c>
    </row>
    <row r="31">
      <c r="A31" t="inlineStr">
        <is>
          <t>Salary sheet</t>
        </is>
      </c>
      <c r="B31" t="inlineStr">
        <is>
          <t>Salaries &amp; Wages: External</t>
        </is>
      </c>
      <c r="C31" t="inlineStr">
        <is>
          <t>OHF</t>
        </is>
      </c>
      <c r="D31" t="inlineStr">
        <is>
          <t>Overhead — administration</t>
        </is>
      </c>
      <c r="E31" t="inlineStr">
        <is>
          <t>external accountant, drivers, cleaners and other outsourced support staff</t>
        </is>
      </c>
      <c r="F31" s="3" t="n">
        <v>7600</v>
      </c>
      <c r="G31" s="3" t="n">
        <v>12690</v>
      </c>
      <c r="H31" s="3" t="n">
        <v>11520</v>
      </c>
      <c r="I31" s="3" t="n">
        <v>9505</v>
      </c>
      <c r="J31" s="3" t="n">
        <v>7800</v>
      </c>
      <c r="K31" s="3" t="n">
        <v>9070</v>
      </c>
      <c r="L31" s="3" t="n">
        <v>9700</v>
      </c>
      <c r="M31" s="3" t="n">
        <v>11596</v>
      </c>
      <c r="N31" s="3" t="n">
        <v>16600</v>
      </c>
      <c r="O31" s="3" t="n">
        <v>15600</v>
      </c>
      <c r="P31" s="3" t="n">
        <v>15600</v>
      </c>
      <c r="Q31" s="3" t="n">
        <v>15600</v>
      </c>
      <c r="R31" s="3" t="n">
        <v>142881</v>
      </c>
    </row>
    <row r="32">
      <c r="A32" t="inlineStr">
        <is>
          <t>Salary sheet</t>
        </is>
      </c>
      <c r="B32" t="inlineStr">
        <is>
          <t>Salaries &amp; Wages: Indirect /INS</t>
        </is>
      </c>
      <c r="C32" t="inlineStr">
        <is>
          <t>OHF</t>
        </is>
      </c>
      <c r="D32" t="inlineStr">
        <is>
          <t>Overhead — patient administration</t>
        </is>
      </c>
      <c r="E32" t="inlineStr">
        <is>
          <t>insurance claims staff</t>
        </is>
      </c>
      <c r="F32" s="3" t="n">
        <v>4400</v>
      </c>
      <c r="G32" s="3" t="n">
        <v>5000</v>
      </c>
      <c r="H32" s="3" t="n">
        <v>10567</v>
      </c>
      <c r="I32" s="3" t="n">
        <v>11500</v>
      </c>
      <c r="J32" s="3" t="n">
        <v>12000</v>
      </c>
      <c r="K32" s="3" t="n">
        <v>10403</v>
      </c>
      <c r="L32" s="3" t="n">
        <v>11336</v>
      </c>
      <c r="M32" s="3" t="n">
        <v>10871</v>
      </c>
      <c r="N32" s="3" t="n">
        <v>11054</v>
      </c>
      <c r="O32" s="3" t="n">
        <v>11248</v>
      </c>
      <c r="P32" s="3" t="n">
        <v>11234</v>
      </c>
      <c r="Q32" s="3" t="n">
        <v>11982.5</v>
      </c>
      <c r="R32" s="3" t="n">
        <v>121595.5</v>
      </c>
    </row>
    <row r="33">
      <c r="A33" t="inlineStr">
        <is>
          <t>Monthly sheet</t>
        </is>
      </c>
      <c r="B33" t="inlineStr">
        <is>
          <t>Clinic Rent</t>
        </is>
      </c>
      <c r="C33" t="inlineStr">
        <is>
          <t>OHF</t>
        </is>
      </c>
      <c r="D33" t="inlineStr">
        <is>
          <t>Overhead — facility</t>
        </is>
      </c>
      <c r="E33" t="inlineStr">
        <is>
          <t>lease of the clinic premises (unit 1302, 85,000/year), allocated to the Dental bucket by floor space</t>
        </is>
      </c>
      <c r="F33" s="3" t="n">
        <v>7083.33</v>
      </c>
      <c r="G33" s="3" t="n">
        <v>7083.33</v>
      </c>
      <c r="H33" s="3" t="n">
        <v>7083.33</v>
      </c>
      <c r="I33" s="3" t="n">
        <v>7083.33</v>
      </c>
      <c r="J33" s="3" t="n">
        <v>7083.33</v>
      </c>
      <c r="K33" s="3" t="n">
        <v>7083.33</v>
      </c>
      <c r="L33" s="3" t="n">
        <v>7083.33</v>
      </c>
      <c r="M33" s="3" t="n">
        <v>7083.33</v>
      </c>
      <c r="N33" s="3" t="n">
        <v>7083.33</v>
      </c>
      <c r="O33" s="3" t="n">
        <v>7083.33</v>
      </c>
      <c r="P33" s="3" t="n">
        <v>7083.33</v>
      </c>
      <c r="Q33" s="3" t="n">
        <v>7083.33</v>
      </c>
      <c r="R33" s="3" t="n">
        <v>84999.96000000001</v>
      </c>
    </row>
    <row r="34">
      <c r="A34" t="inlineStr">
        <is>
          <t>Monthly sheet</t>
        </is>
      </c>
      <c r="B34" t="inlineStr">
        <is>
          <t>Dues &amp; Subscriptions</t>
        </is>
      </c>
      <c r="C34" t="inlineStr">
        <is>
          <t>OHF</t>
        </is>
      </c>
      <c r="D34" t="inlineStr">
        <is>
          <t>Overhead — IT / administration</t>
        </is>
      </c>
      <c r="E34" t="inlineStr">
        <is>
          <t>software subscriptions, memberships</t>
        </is>
      </c>
      <c r="F34" s="3" t="n">
        <v>5585</v>
      </c>
      <c r="G34" s="3" t="n">
        <v>9203.280000000001</v>
      </c>
      <c r="H34" s="3" t="n">
        <v>8414.280000000001</v>
      </c>
      <c r="I34" s="3" t="n">
        <v>2000</v>
      </c>
      <c r="J34" s="3" t="n">
        <v>6503.7</v>
      </c>
      <c r="K34" s="3" t="n">
        <v>10028.04</v>
      </c>
      <c r="L34" s="3" t="n">
        <v>99.54000000000001</v>
      </c>
      <c r="M34" s="3" t="n">
        <v>1842.43</v>
      </c>
      <c r="N34" s="3" t="n">
        <v>15774.05</v>
      </c>
      <c r="O34" s="3" t="n">
        <v>6523.81</v>
      </c>
      <c r="P34" s="3" t="n">
        <v>8884.18</v>
      </c>
      <c r="Q34" s="3" t="n">
        <v>5667.86</v>
      </c>
      <c r="R34" s="3" t="n">
        <v>80526.17</v>
      </c>
    </row>
    <row r="35">
      <c r="A35" t="inlineStr">
        <is>
          <t>Monthly sheet</t>
        </is>
      </c>
      <c r="B35" t="inlineStr">
        <is>
          <t>Legal &amp; Professional Expenses: non-on-cost part</t>
        </is>
      </c>
      <c r="C35" t="inlineStr">
        <is>
          <t>OHF</t>
        </is>
      </c>
      <c r="D35" t="inlineStr">
        <is>
          <t>Overhead — administration</t>
        </is>
      </c>
      <c r="E35" t="inlineStr">
        <is>
          <t>DOH facility/clinician licences, immigration and visas, trade licence, civil defence, ADHICS/Tasneef, typing/PRO fees (facility licences, accreditation, trade licence, civil defence, tenancy)</t>
        </is>
      </c>
      <c r="F35" s="3" t="n">
        <v>12952.11</v>
      </c>
      <c r="G35" s="3" t="n">
        <v>3517.48</v>
      </c>
      <c r="H35" s="3" t="n">
        <v>3639.17</v>
      </c>
      <c r="I35" s="3" t="n">
        <v>3908.76</v>
      </c>
      <c r="J35" s="3" t="n">
        <v>6016.57</v>
      </c>
      <c r="K35" s="3" t="n">
        <v>12860.28</v>
      </c>
      <c r="L35" s="3" t="n">
        <v>3806.31</v>
      </c>
      <c r="M35" s="3" t="n">
        <v>6476.44</v>
      </c>
      <c r="N35" s="3" t="n">
        <v>5422.73</v>
      </c>
      <c r="O35" s="3" t="n">
        <v>3945.15</v>
      </c>
      <c r="P35" s="3" t="n">
        <v>6144.02</v>
      </c>
      <c r="Q35" s="3" t="n">
        <v>5365.53</v>
      </c>
      <c r="R35" s="3" t="n">
        <v>74054.55</v>
      </c>
    </row>
    <row r="36">
      <c r="A36" t="inlineStr">
        <is>
          <t>Monthly sheet</t>
        </is>
      </c>
      <c r="B36" t="inlineStr">
        <is>
          <t>Finance Charges</t>
        </is>
      </c>
      <c r="C36" t="inlineStr">
        <is>
          <t>OHF</t>
        </is>
      </c>
      <c r="D36" t="inlineStr">
        <is>
          <t>Overhead — administration</t>
        </is>
      </c>
      <c r="E36" t="inlineStr">
        <is>
          <t>bank and card charges</t>
        </is>
      </c>
      <c r="F36" s="3" t="n">
        <v>6820.88</v>
      </c>
      <c r="G36" s="3" t="n">
        <v>6684.05</v>
      </c>
      <c r="H36" s="3" t="n">
        <v>9269.73</v>
      </c>
      <c r="I36" s="3" t="n">
        <v>5865.9</v>
      </c>
      <c r="J36" s="3" t="n">
        <v>5876.86</v>
      </c>
      <c r="K36" s="3" t="n">
        <v>4410.88</v>
      </c>
      <c r="L36" s="3" t="n">
        <v>3220.43</v>
      </c>
      <c r="M36" s="3" t="n">
        <v>4136.27</v>
      </c>
      <c r="N36" s="3" t="n">
        <v>4080.58</v>
      </c>
      <c r="O36" s="3" t="n">
        <v>4032.3</v>
      </c>
      <c r="P36" s="3" t="n">
        <v>4905.68</v>
      </c>
      <c r="Q36" s="3" t="n">
        <v>3702.29</v>
      </c>
      <c r="R36" s="3" t="n">
        <v>63005.85</v>
      </c>
    </row>
    <row r="37">
      <c r="A37" t="inlineStr">
        <is>
          <t>Salary sheet</t>
        </is>
      </c>
      <c r="B37" t="inlineStr">
        <is>
          <t>Salaries &amp; Wages: Indirect /Purchase</t>
        </is>
      </c>
      <c r="C37" t="inlineStr">
        <is>
          <t>OHF</t>
        </is>
      </c>
      <c r="D37" t="inlineStr">
        <is>
          <t>Overhead — administration</t>
        </is>
      </c>
      <c r="E37" t="inlineStr">
        <is>
          <t>purchasing</t>
        </is>
      </c>
      <c r="F37" s="3" t="n">
        <v>5000</v>
      </c>
      <c r="G37" s="3" t="n">
        <v>5000</v>
      </c>
      <c r="H37" s="3" t="n">
        <v>5000</v>
      </c>
      <c r="I37" s="3" t="n">
        <v>5000</v>
      </c>
      <c r="J37" s="3" t="n">
        <v>4458</v>
      </c>
      <c r="K37" s="3" t="n">
        <v>5000</v>
      </c>
      <c r="L37" s="3" t="n">
        <v>5000</v>
      </c>
      <c r="M37" s="3" t="n">
        <v>5000</v>
      </c>
      <c r="N37" s="3" t="n">
        <v>5000</v>
      </c>
      <c r="O37" s="3" t="n">
        <v>5000</v>
      </c>
      <c r="P37" s="3" t="n">
        <v>4758</v>
      </c>
      <c r="Q37" s="3" t="n">
        <v>4958.33</v>
      </c>
      <c r="R37" s="3" t="n">
        <v>59174.33</v>
      </c>
    </row>
    <row r="38">
      <c r="A38" t="inlineStr">
        <is>
          <t>Monthly sheet</t>
        </is>
      </c>
      <c r="B38" t="inlineStr">
        <is>
          <t>Legal &amp; Professional Expenses: visas, work permits, labour cards → OHF</t>
        </is>
      </c>
      <c r="C38" t="inlineStr">
        <is>
          <t>OHF</t>
        </is>
      </c>
      <c r="D38" t="inlineStr">
        <is>
          <t>Overhead — back-office staff on-costs</t>
        </is>
      </c>
      <c r="E38" t="inlineStr">
        <is>
          <t>staff on-cost; monthly headcount key (Indirect/RAP, Indirect /INS, Indirect /Management, Indirect /Purchase, Indirect/Accounts, Indirect it, Indirect/ Hr); ruling 13 Oct 2026, Option 3</t>
        </is>
      </c>
      <c r="F38" s="3" t="n">
        <v>9353.969999999999</v>
      </c>
      <c r="G38" s="3" t="n">
        <v>2298.38</v>
      </c>
      <c r="H38" s="3" t="n">
        <v>2853.46</v>
      </c>
      <c r="I38" s="3" t="n">
        <v>3064.85</v>
      </c>
      <c r="J38" s="3" t="n">
        <v>4824.82</v>
      </c>
      <c r="K38" s="3" t="n">
        <v>11344.2</v>
      </c>
      <c r="L38" s="3" t="n">
        <v>2919.64</v>
      </c>
      <c r="M38" s="3" t="n">
        <v>4967.78</v>
      </c>
      <c r="N38" s="3" t="n">
        <v>4348.59</v>
      </c>
      <c r="O38" s="3" t="n">
        <v>3222.29</v>
      </c>
      <c r="P38" s="3" t="n">
        <v>5018.25</v>
      </c>
      <c r="Q38" s="3" t="n">
        <v>4207.11</v>
      </c>
      <c r="R38" s="3" t="n">
        <v>58423.34</v>
      </c>
    </row>
    <row r="39">
      <c r="A39" t="inlineStr">
        <is>
          <t>Monthly sheet</t>
        </is>
      </c>
      <c r="B39" t="inlineStr">
        <is>
          <t>Utilities Expenses</t>
        </is>
      </c>
      <c r="C39" t="inlineStr">
        <is>
          <t>OHF</t>
        </is>
      </c>
      <c r="D39" t="inlineStr">
        <is>
          <t>Overhead — facility</t>
        </is>
      </c>
      <c r="E39" t="inlineStr">
        <is>
          <t>ADDC electricity/water, Etisalat telephone and internet</t>
        </is>
      </c>
      <c r="F39" s="3" t="n">
        <v>4780.25</v>
      </c>
      <c r="G39" s="3" t="n">
        <v>4568.37</v>
      </c>
      <c r="H39" s="3" t="n">
        <v>4510.14</v>
      </c>
      <c r="I39" s="3" t="n">
        <v>4191.56</v>
      </c>
      <c r="J39" s="3" t="n">
        <v>8334.92</v>
      </c>
      <c r="K39" s="3" t="n">
        <v>4350.26</v>
      </c>
      <c r="L39" s="3" t="n">
        <v>4242.75</v>
      </c>
      <c r="M39" s="3" t="n">
        <v>4051.47</v>
      </c>
      <c r="N39" s="3" t="n">
        <v>4127.37</v>
      </c>
      <c r="O39" s="3" t="n">
        <v>4358.95</v>
      </c>
      <c r="P39" s="3" t="n">
        <v>4242.9</v>
      </c>
      <c r="Q39" s="3" t="n">
        <v>4322.62</v>
      </c>
      <c r="R39" s="3" t="n">
        <v>56081.56</v>
      </c>
    </row>
    <row r="40">
      <c r="A40" t="inlineStr">
        <is>
          <t>Monthly sheet</t>
        </is>
      </c>
      <c r="B40" t="inlineStr">
        <is>
          <t>Marketing</t>
        </is>
      </c>
      <c r="C40" t="inlineStr">
        <is>
          <t>OHF</t>
        </is>
      </c>
      <c r="D40" t="inlineStr">
        <is>
          <t>Overhead — administration</t>
        </is>
      </c>
      <c r="E40" t="inlineStr">
        <is>
          <t>Meta/WhatsApp API, Adobe, promotions</t>
        </is>
      </c>
      <c r="F40" s="3" t="n">
        <v>5820.11</v>
      </c>
      <c r="G40" s="3" t="n">
        <v>2380.86</v>
      </c>
      <c r="H40" s="3" t="n">
        <v>4382.51</v>
      </c>
      <c r="I40" s="3" t="n">
        <v>4044.86</v>
      </c>
      <c r="J40" s="3" t="n">
        <v>4998.58</v>
      </c>
      <c r="K40" s="3" t="n">
        <v>8392.940000000001</v>
      </c>
      <c r="L40" s="3" t="n">
        <v>3713.11</v>
      </c>
      <c r="M40" s="3" t="n">
        <v>5896.89</v>
      </c>
      <c r="N40" s="3" t="n">
        <v>2707.23</v>
      </c>
      <c r="O40" s="3" t="n">
        <v>1973.75</v>
      </c>
      <c r="P40" s="3" t="n">
        <v>8600.299999999999</v>
      </c>
      <c r="Q40" s="3" t="n">
        <v>2478.75</v>
      </c>
      <c r="R40" s="3" t="n">
        <v>55389.89</v>
      </c>
    </row>
    <row r="41">
      <c r="A41" t="inlineStr">
        <is>
          <t>Salary sheet</t>
        </is>
      </c>
      <c r="B41" t="inlineStr">
        <is>
          <t>Salaries &amp; Wages: Indirect/Accounts</t>
        </is>
      </c>
      <c r="C41" t="inlineStr">
        <is>
          <t>OHF</t>
        </is>
      </c>
      <c r="D41" t="inlineStr">
        <is>
          <t>Overhead — administration</t>
        </is>
      </c>
      <c r="E41" t="inlineStr">
        <is>
          <t>accounts</t>
        </is>
      </c>
      <c r="F41" s="3" t="n">
        <v>4645</v>
      </c>
      <c r="G41" s="3" t="n">
        <v>3355</v>
      </c>
      <c r="H41" s="3" t="n">
        <v>4500</v>
      </c>
      <c r="I41" s="3" t="n">
        <v>4000</v>
      </c>
      <c r="J41" s="3" t="n">
        <v>3956</v>
      </c>
      <c r="K41" s="3" t="n">
        <v>4391</v>
      </c>
      <c r="L41" s="3" t="n">
        <v>4938</v>
      </c>
      <c r="M41" s="3" t="n">
        <v>3975</v>
      </c>
      <c r="N41" s="3" t="n">
        <v>4090</v>
      </c>
      <c r="O41" s="3" t="n">
        <v>4016</v>
      </c>
      <c r="P41" s="3" t="n">
        <v>4658</v>
      </c>
      <c r="Q41" s="3" t="n">
        <v>4656.25</v>
      </c>
      <c r="R41" s="3" t="n">
        <v>51180.25</v>
      </c>
    </row>
    <row r="42">
      <c r="A42" t="inlineStr">
        <is>
          <t>Monthly sheet</t>
        </is>
      </c>
      <c r="B42" t="inlineStr">
        <is>
          <t>Repair &amp; Maintenance Expenses</t>
        </is>
      </c>
      <c r="C42" t="inlineStr">
        <is>
          <t>OHF</t>
        </is>
      </c>
      <c r="D42" t="inlineStr">
        <is>
          <t>Overhead — facility</t>
        </is>
      </c>
      <c r="E42" t="inlineStr">
        <is>
          <t>general premises maintenance supplies and works</t>
        </is>
      </c>
      <c r="F42" s="3" t="n">
        <v>3948.75</v>
      </c>
      <c r="G42" s="3" t="n">
        <v>701.2</v>
      </c>
      <c r="H42" s="3" t="n">
        <v>1519</v>
      </c>
      <c r="I42" s="3" t="n">
        <v>2904.65</v>
      </c>
      <c r="J42" s="3" t="n">
        <v>418.3</v>
      </c>
      <c r="K42" s="3" t="n">
        <v>3500</v>
      </c>
      <c r="L42" s="3" t="n">
        <v>579.13</v>
      </c>
      <c r="M42" s="3" t="n">
        <v>3615.85</v>
      </c>
      <c r="N42" s="3" t="n">
        <v>4075.55</v>
      </c>
      <c r="O42" s="3" t="n">
        <v>4223.2</v>
      </c>
      <c r="P42" s="3" t="n">
        <v>2824</v>
      </c>
      <c r="Q42" s="3" t="n">
        <v>704.67</v>
      </c>
      <c r="R42" s="3" t="n">
        <v>29014.3</v>
      </c>
    </row>
    <row r="43">
      <c r="A43" t="inlineStr">
        <is>
          <t>Monthly sheet</t>
        </is>
      </c>
      <c r="B43" t="inlineStr">
        <is>
          <t>Travelling &amp; Transportation</t>
        </is>
      </c>
      <c r="C43" t="inlineStr">
        <is>
          <t>OHF</t>
        </is>
      </c>
      <c r="D43" t="inlineStr">
        <is>
          <t>Overhead — administration</t>
        </is>
      </c>
      <c r="E43" t="inlineStr">
        <is>
          <t>taxis, parking, petrol, car wash</t>
        </is>
      </c>
      <c r="F43" s="3" t="n">
        <v>1620.78</v>
      </c>
      <c r="G43" s="3" t="n">
        <v>2671.44</v>
      </c>
      <c r="H43" s="3" t="n">
        <v>1406.51</v>
      </c>
      <c r="I43" s="3" t="n">
        <v>2252.91</v>
      </c>
      <c r="J43" s="3" t="n">
        <v>2285.53</v>
      </c>
      <c r="K43" s="3" t="n">
        <v>1225.52</v>
      </c>
      <c r="L43" s="3" t="n">
        <v>5340.97</v>
      </c>
      <c r="M43" s="3" t="n">
        <v>1464.2</v>
      </c>
      <c r="N43" s="3" t="n">
        <v>1523</v>
      </c>
      <c r="O43" s="3" t="n">
        <v>3348</v>
      </c>
      <c r="P43" s="3" t="n">
        <v>2184.07</v>
      </c>
      <c r="Q43" s="3" t="n">
        <v>2346.5</v>
      </c>
      <c r="R43" s="3" t="n">
        <v>27669.43</v>
      </c>
    </row>
    <row r="44">
      <c r="A44" t="inlineStr">
        <is>
          <t>Monthly sheet</t>
        </is>
      </c>
      <c r="B44" t="inlineStr">
        <is>
          <t>Insurance: staff medical insurance → OHF</t>
        </is>
      </c>
      <c r="C44" t="inlineStr">
        <is>
          <t>OHF</t>
        </is>
      </c>
      <c r="D44" t="inlineStr">
        <is>
          <t>Overhead — back-office staff on-costs</t>
        </is>
      </c>
      <c r="E44" t="inlineStr">
        <is>
          <t>staff on-cost; monthly headcount key (Indirect/RAP, Indirect /INS, Indirect /Management, Indirect /Purchase, Indirect/Accounts, Indirect it, Indirect/ Hr); ruling 13 Oct 2026, Option 3</t>
        </is>
      </c>
      <c r="F44" s="3" t="n">
        <v>2188.2</v>
      </c>
      <c r="G44" s="3" t="n">
        <v>1991.55</v>
      </c>
      <c r="H44" s="3" t="n">
        <v>2389.86</v>
      </c>
      <c r="I44" s="3" t="n">
        <v>2389.86</v>
      </c>
      <c r="J44" s="3" t="n">
        <v>2452.83</v>
      </c>
      <c r="K44" s="3" t="n">
        <v>2698.11</v>
      </c>
      <c r="L44" s="3" t="n">
        <v>1785.91</v>
      </c>
      <c r="M44" s="3" t="n">
        <v>717.3</v>
      </c>
      <c r="N44" s="3" t="n">
        <v>807.72</v>
      </c>
      <c r="O44" s="3" t="n">
        <v>822.6799999999999</v>
      </c>
      <c r="P44" s="3" t="n">
        <v>849.35</v>
      </c>
      <c r="Q44" s="3" t="n">
        <v>867.98</v>
      </c>
      <c r="R44" s="3" t="n">
        <v>19961.35</v>
      </c>
    </row>
    <row r="45">
      <c r="A45" t="inlineStr">
        <is>
          <t>Stock movement</t>
        </is>
      </c>
      <c r="B45" t="inlineStr">
        <is>
          <t>Cost of Goods Sold (M01, M02, M03, M04, M05, M06, M07, M08, M09, M10, M11, M12): OHF</t>
        </is>
      </c>
      <c r="C45" t="inlineStr">
        <is>
          <t>OHF</t>
        </is>
      </c>
      <c r="D45" t="inlineStr">
        <is>
          <t>Overhead — back office</t>
        </is>
      </c>
      <c r="E45" t="inlineStr">
        <is>
          <t>pantry and stationery issued from stock</t>
        </is>
      </c>
      <c r="F45" s="3" t="n">
        <v>1007.8</v>
      </c>
      <c r="G45" s="3" t="n">
        <v>755.4</v>
      </c>
      <c r="H45" s="3" t="n">
        <v>636.4</v>
      </c>
      <c r="I45" s="3" t="n">
        <v>636.4</v>
      </c>
      <c r="J45" s="3" t="n">
        <v>841</v>
      </c>
      <c r="K45" s="3" t="n">
        <v>1297</v>
      </c>
      <c r="L45" s="3" t="n">
        <v>702.5</v>
      </c>
      <c r="M45" s="3" t="n">
        <v>1589.87</v>
      </c>
      <c r="N45" s="3" t="n">
        <v>51</v>
      </c>
      <c r="O45" s="3" t="n">
        <v>705</v>
      </c>
      <c r="P45" s="3" t="n">
        <v>1568.26</v>
      </c>
      <c r="Q45" s="3" t="n">
        <v>7224.63</v>
      </c>
      <c r="R45" s="3" t="n">
        <v>17015.26</v>
      </c>
    </row>
    <row r="46">
      <c r="A46" t="inlineStr">
        <is>
          <t>Monthly sheet</t>
        </is>
      </c>
      <c r="B46" t="inlineStr">
        <is>
          <t>Fines</t>
        </is>
      </c>
      <c r="C46" t="inlineStr">
        <is>
          <t>OHF</t>
        </is>
      </c>
      <c r="D46" t="inlineStr">
        <is>
          <t>Overhead — administration</t>
        </is>
      </c>
      <c r="E46" t="inlineStr">
        <is>
          <t>regulatory and traffic fines (kept: Standard 3.1.1 takes all GL expenses except balance-sheet items)</t>
        </is>
      </c>
      <c r="F46" s="3" t="n">
        <v>1635</v>
      </c>
      <c r="G46" s="3" t="n">
        <v>263</v>
      </c>
      <c r="H46" s="3" t="n">
        <v>0</v>
      </c>
      <c r="I46" s="3" t="n">
        <v>1278</v>
      </c>
      <c r="J46" s="3" t="n">
        <v>0</v>
      </c>
      <c r="K46" s="3" t="n">
        <v>1031</v>
      </c>
      <c r="L46" s="3" t="n">
        <v>0</v>
      </c>
      <c r="M46" s="3" t="n">
        <v>8435.120000000001</v>
      </c>
      <c r="N46" s="3" t="n">
        <v>1503</v>
      </c>
      <c r="O46" s="3" t="n">
        <v>0</v>
      </c>
      <c r="P46" s="3" t="n">
        <v>2242.91</v>
      </c>
      <c r="Q46" s="3" t="n">
        <v>625</v>
      </c>
      <c r="R46" s="3" t="n">
        <v>17013.03</v>
      </c>
    </row>
    <row r="47">
      <c r="A47" t="inlineStr">
        <is>
          <t>Monthly sheet</t>
        </is>
      </c>
      <c r="B47" t="inlineStr">
        <is>
          <t>Pantry</t>
        </is>
      </c>
      <c r="C47" t="inlineStr">
        <is>
          <t>OHF</t>
        </is>
      </c>
      <c r="D47" t="inlineStr">
        <is>
          <t>Overhead — back office</t>
        </is>
      </c>
      <c r="E47" t="inlineStr">
        <is>
          <t>pantry, water, cleaning products (staff and patient refreshments)</t>
        </is>
      </c>
      <c r="F47" s="3" t="n">
        <v>1576.08</v>
      </c>
      <c r="G47" s="3" t="n">
        <v>1074.12</v>
      </c>
      <c r="H47" s="3" t="n">
        <v>748.9299999999999</v>
      </c>
      <c r="I47" s="3" t="n">
        <v>1483.1</v>
      </c>
      <c r="J47" s="3" t="n">
        <v>705.55</v>
      </c>
      <c r="K47" s="3" t="n">
        <v>1314.1</v>
      </c>
      <c r="L47" s="3" t="n">
        <v>1310.92</v>
      </c>
      <c r="M47" s="3" t="n">
        <v>1821.61</v>
      </c>
      <c r="N47" s="3" t="n">
        <v>1056.15</v>
      </c>
      <c r="O47" s="3" t="n">
        <v>1638.4</v>
      </c>
      <c r="P47" s="3" t="n">
        <v>1660.35</v>
      </c>
      <c r="Q47" s="3" t="n">
        <v>752.78</v>
      </c>
      <c r="R47" s="3" t="n">
        <v>15142.09</v>
      </c>
    </row>
    <row r="48">
      <c r="A48" t="inlineStr">
        <is>
          <t>Monthly sheet</t>
        </is>
      </c>
      <c r="B48" t="inlineStr">
        <is>
          <t>Other Expenses</t>
        </is>
      </c>
      <c r="C48" t="inlineStr">
        <is>
          <t>OHF</t>
        </is>
      </c>
      <c r="D48" t="inlineStr">
        <is>
          <t>Overhead — administration</t>
        </is>
      </c>
      <c r="E48" t="inlineStr">
        <is>
          <t>courier, flags/badges, miscellaneous</t>
        </is>
      </c>
      <c r="F48" s="3" t="n">
        <v>2138.76</v>
      </c>
      <c r="G48" s="3" t="n">
        <v>1089.69</v>
      </c>
      <c r="H48" s="3" t="n">
        <v>1123.01</v>
      </c>
      <c r="I48" s="3" t="n">
        <v>3789.07</v>
      </c>
      <c r="J48" s="3" t="n">
        <v>1320.49</v>
      </c>
      <c r="K48" s="3" t="n">
        <v>989.6799999999999</v>
      </c>
      <c r="L48" s="3" t="n">
        <v>1127.98</v>
      </c>
      <c r="M48" s="3" t="n">
        <v>1253.75</v>
      </c>
      <c r="N48" s="3" t="n">
        <v>508.94</v>
      </c>
      <c r="O48" s="3" t="n">
        <v>264.83</v>
      </c>
      <c r="P48" s="3" t="n">
        <v>316.45</v>
      </c>
      <c r="Q48" s="3" t="n">
        <v>88.53</v>
      </c>
      <c r="R48" s="3" t="n">
        <v>14011.18</v>
      </c>
    </row>
    <row r="49">
      <c r="A49" t="inlineStr">
        <is>
          <t>Monthly sheet</t>
        </is>
      </c>
      <c r="B49" t="inlineStr">
        <is>
          <t>Office Supplies</t>
        </is>
      </c>
      <c r="C49" t="inlineStr">
        <is>
          <t>OHF</t>
        </is>
      </c>
      <c r="D49" t="inlineStr">
        <is>
          <t>Overhead — administration</t>
        </is>
      </c>
      <c r="E49" t="inlineStr">
        <is>
          <t>stationery, printer ink, newspapers</t>
        </is>
      </c>
      <c r="F49" s="3" t="n">
        <v>783.13</v>
      </c>
      <c r="G49" s="3" t="n">
        <v>449.05</v>
      </c>
      <c r="H49" s="3" t="n">
        <v>373</v>
      </c>
      <c r="I49" s="3" t="n">
        <v>1618.98</v>
      </c>
      <c r="J49" s="3" t="n">
        <v>404.77</v>
      </c>
      <c r="K49" s="3" t="n">
        <v>1228.67</v>
      </c>
      <c r="L49" s="3" t="n">
        <v>340.61</v>
      </c>
      <c r="M49" s="3" t="n">
        <v>481.01</v>
      </c>
      <c r="N49" s="3" t="n">
        <v>1156.65</v>
      </c>
      <c r="O49" s="3" t="n">
        <v>440.57</v>
      </c>
      <c r="P49" s="3" t="n">
        <v>237.4</v>
      </c>
      <c r="Q49" s="3" t="n">
        <v>375.55</v>
      </c>
      <c r="R49" s="3" t="n">
        <v>7889.39</v>
      </c>
    </row>
    <row r="50">
      <c r="A50" t="inlineStr">
        <is>
          <t>Monthly sheet</t>
        </is>
      </c>
      <c r="B50" t="inlineStr">
        <is>
          <t>Claim Rejection</t>
        </is>
      </c>
      <c r="C50" t="inlineStr">
        <is>
          <t>OHF</t>
        </is>
      </c>
      <c r="D50" t="inlineStr">
        <is>
          <t>Overhead — patient administration</t>
        </is>
      </c>
      <c r="E50" t="inlineStr">
        <is>
          <t>written-off rejected claims</t>
        </is>
      </c>
      <c r="F50" s="3" t="n">
        <v>0</v>
      </c>
      <c r="G50" s="3" t="n">
        <v>0</v>
      </c>
      <c r="H50" s="3" t="n">
        <v>844.2</v>
      </c>
      <c r="I50" s="3" t="n">
        <v>0</v>
      </c>
      <c r="J50" s="3" t="n">
        <v>0</v>
      </c>
      <c r="K50" s="3" t="n">
        <v>245</v>
      </c>
      <c r="L50" s="3" t="n">
        <v>0</v>
      </c>
      <c r="M50" s="3" t="n">
        <v>0</v>
      </c>
      <c r="N50" s="3" t="n">
        <v>1005</v>
      </c>
      <c r="O50" s="3" t="n">
        <v>-32</v>
      </c>
      <c r="P50" s="3" t="n">
        <v>1235</v>
      </c>
      <c r="Q50" s="3" t="n">
        <v>105</v>
      </c>
      <c r="R50" s="3" t="n">
        <v>3402.2</v>
      </c>
    </row>
    <row r="51">
      <c r="A51" t="inlineStr">
        <is>
          <t>Salary sheet</t>
        </is>
      </c>
      <c r="B51" t="inlineStr">
        <is>
          <t>Salaries &amp; Wages: Indirect it</t>
        </is>
      </c>
      <c r="C51" t="inlineStr">
        <is>
          <t>OHF</t>
        </is>
      </c>
      <c r="D51" t="inlineStr">
        <is>
          <t>Overhead — IT</t>
        </is>
      </c>
      <c r="E51" t="inlineStr">
        <is>
          <t>IT</t>
        </is>
      </c>
      <c r="F51" s="3" t="n">
        <v>0</v>
      </c>
      <c r="G51" s="3" t="n">
        <v>0</v>
      </c>
      <c r="H51" s="3" t="n">
        <v>0</v>
      </c>
      <c r="I51" s="3" t="n">
        <v>0</v>
      </c>
      <c r="J51" s="3" t="n">
        <v>0</v>
      </c>
      <c r="K51" s="3" t="n">
        <v>0</v>
      </c>
      <c r="L51" s="3" t="n">
        <v>0</v>
      </c>
      <c r="M51" s="3" t="n">
        <v>0</v>
      </c>
      <c r="N51" s="3" t="n">
        <v>0</v>
      </c>
      <c r="O51" s="3" t="n">
        <v>0</v>
      </c>
      <c r="P51" s="3" t="n">
        <v>0</v>
      </c>
      <c r="Q51" s="3" t="n">
        <v>0</v>
      </c>
      <c r="R51" s="3" t="n">
        <v>0</v>
      </c>
    </row>
    <row r="52">
      <c r="A52" t="inlineStr">
        <is>
          <t>Salary sheet</t>
        </is>
      </c>
      <c r="B52" t="inlineStr">
        <is>
          <t>Salaries &amp; Wages: Indirect/ Hr</t>
        </is>
      </c>
      <c r="C52" t="inlineStr">
        <is>
          <t>OHF</t>
        </is>
      </c>
      <c r="D52" t="inlineStr">
        <is>
          <t>Overhead — HR</t>
        </is>
      </c>
      <c r="E52" t="inlineStr">
        <is>
          <t>HR</t>
        </is>
      </c>
      <c r="F52" s="3" t="n">
        <v>0</v>
      </c>
      <c r="G52" s="3" t="n">
        <v>0</v>
      </c>
      <c r="H52" s="3" t="n">
        <v>0</v>
      </c>
      <c r="I52" s="3" t="n">
        <v>0</v>
      </c>
      <c r="J52" s="3" t="n">
        <v>0</v>
      </c>
      <c r="K52" s="3" t="n">
        <v>0</v>
      </c>
      <c r="L52" s="3" t="n">
        <v>0</v>
      </c>
      <c r="M52" s="3" t="n">
        <v>0</v>
      </c>
      <c r="N52" s="3" t="n">
        <v>0</v>
      </c>
      <c r="O52" s="3" t="n">
        <v>0</v>
      </c>
      <c r="P52" s="3" t="n">
        <v>0</v>
      </c>
      <c r="Q52" s="3" t="n">
        <v>0</v>
      </c>
      <c r="R52" s="3" t="n">
        <v>0</v>
      </c>
    </row>
    <row r="53">
      <c r="A53" t="inlineStr">
        <is>
          <t>TB depreciation</t>
        </is>
      </c>
      <c r="B53" t="inlineStr">
        <is>
          <t>Depreciation: furniture, office equipment, computers, software</t>
        </is>
      </c>
      <c r="C53" t="inlineStr">
        <is>
          <t>OHDepreciation</t>
        </is>
      </c>
      <c r="D53" t="inlineStr">
        <is>
          <t>Overhead — facility / IT</t>
        </is>
      </c>
      <c r="E53" t="inlineStr">
        <is>
          <t>fit-out, office equipment, computers, software (2025 charge 30,297.55)</t>
        </is>
      </c>
      <c r="F53" s="3" t="n">
        <v>2524.8</v>
      </c>
      <c r="G53" s="3" t="n">
        <v>2524.8</v>
      </c>
      <c r="H53" s="3" t="n">
        <v>2524.8</v>
      </c>
      <c r="I53" s="3" t="n">
        <v>2524.8</v>
      </c>
      <c r="J53" s="3" t="n">
        <v>2524.8</v>
      </c>
      <c r="K53" s="3" t="n">
        <v>2524.8</v>
      </c>
      <c r="L53" s="3" t="n">
        <v>2524.8</v>
      </c>
      <c r="M53" s="3" t="n">
        <v>2524.8</v>
      </c>
      <c r="N53" s="3" t="n">
        <v>2524.8</v>
      </c>
      <c r="O53" s="3" t="n">
        <v>2524.8</v>
      </c>
      <c r="P53" s="3" t="n">
        <v>2524.8</v>
      </c>
      <c r="Q53" s="3" t="n">
        <v>2524.8</v>
      </c>
      <c r="R53" s="3" t="n">
        <v>30297.6</v>
      </c>
    </row>
    <row r="54">
      <c r="A54" t="inlineStr">
        <is>
          <t>Monthly sheet</t>
        </is>
      </c>
      <c r="B54" t="inlineStr">
        <is>
          <t>Third Party &amp; Professional Services</t>
        </is>
      </c>
      <c r="C54" t="inlineStr">
        <is>
          <t>OHC</t>
        </is>
      </c>
      <c r="D54" t="inlineStr">
        <is>
          <t>Overhead — shared services</t>
        </is>
      </c>
      <c r="E54" t="inlineStr">
        <is>
          <t>MySmyle Company EMR subscription, management consultancy and IT services (25,000/month) + Calibrate/Platform Technologies: services charged by a sister company = corporate/shared-services overhead</t>
        </is>
      </c>
      <c r="F54" s="3" t="n">
        <v>8317</v>
      </c>
      <c r="G54" s="3" t="n">
        <v>37300</v>
      </c>
      <c r="H54" s="3" t="n">
        <v>62270</v>
      </c>
      <c r="I54" s="3" t="n">
        <v>66480.95</v>
      </c>
      <c r="J54" s="3" t="n">
        <v>2500</v>
      </c>
      <c r="K54" s="3" t="n">
        <v>37375.73</v>
      </c>
      <c r="L54" s="3" t="n">
        <v>25000</v>
      </c>
      <c r="M54" s="3" t="n">
        <v>27500</v>
      </c>
      <c r="N54" s="3" t="n">
        <v>28000</v>
      </c>
      <c r="O54" s="3" t="n">
        <v>25500</v>
      </c>
      <c r="P54" s="3" t="n">
        <v>25000</v>
      </c>
      <c r="Q54" s="3" t="n">
        <v>25104.5</v>
      </c>
      <c r="R54" s="3" t="n">
        <v>370348.18</v>
      </c>
    </row>
    <row r="55">
      <c r="F55" s="3" t="n"/>
      <c r="G55" s="3" t="n"/>
      <c r="H55" s="3" t="n"/>
      <c r="I55" s="3" t="n"/>
      <c r="J55" s="3" t="n"/>
      <c r="K55" s="3" t="n"/>
      <c r="L55" s="3" t="n"/>
      <c r="M55" s="3" t="n"/>
      <c r="N55" s="3" t="n"/>
      <c r="O55" s="3" t="n"/>
      <c r="P55" s="3" t="n"/>
      <c r="Q55" s="3" t="n"/>
      <c r="R55" s="3" t="n"/>
    </row>
    <row r="56">
      <c r="A56" s="4" t="inlineStr"/>
      <c r="B56" s="4" t="inlineStr">
        <is>
          <t>TOTAL mapped</t>
        </is>
      </c>
      <c r="C56" s="4" t="inlineStr"/>
      <c r="D56" s="4" t="inlineStr"/>
      <c r="E56" s="4" t="inlineStr"/>
      <c r="F56" s="5" t="n">
        <v>511302.3</v>
      </c>
      <c r="G56" s="5" t="n">
        <v>532341.64</v>
      </c>
      <c r="H56" s="5" t="n">
        <v>606868.86</v>
      </c>
      <c r="I56" s="5" t="n">
        <v>518123.66</v>
      </c>
      <c r="J56" s="5" t="n">
        <v>488066.68</v>
      </c>
      <c r="K56" s="5" t="n">
        <v>616494.08</v>
      </c>
      <c r="L56" s="5" t="n">
        <v>480166.81</v>
      </c>
      <c r="M56" s="5" t="n">
        <v>526990.09</v>
      </c>
      <c r="N56" s="5" t="n">
        <v>509542.04</v>
      </c>
      <c r="O56" s="5" t="n">
        <v>546725.96</v>
      </c>
      <c r="P56" s="5" t="n">
        <v>493746.03</v>
      </c>
      <c r="Q56" s="5" t="n">
        <v>623033.72</v>
      </c>
      <c r="R56" s="5" t="n">
        <v>6453401.87</v>
      </c>
    </row>
    <row r="57">
      <c r="A57" s="4" t="inlineStr"/>
      <c r="B57" s="4" t="inlineStr">
        <is>
          <t>Ledger (locked)</t>
        </is>
      </c>
      <c r="C57" s="4" t="inlineStr"/>
      <c r="D57" s="4" t="inlineStr"/>
      <c r="E57" s="4" t="inlineStr"/>
      <c r="F57" s="5" t="n">
        <v>511302.3</v>
      </c>
      <c r="G57" s="5" t="n">
        <v>532341.65</v>
      </c>
      <c r="H57" s="5" t="n">
        <v>606868.87</v>
      </c>
      <c r="I57" s="5" t="n">
        <v>518123.67</v>
      </c>
      <c r="J57" s="5" t="n">
        <v>488066.69</v>
      </c>
      <c r="K57" s="5" t="n">
        <v>616494.09</v>
      </c>
      <c r="L57" s="5" t="n">
        <v>480166.82</v>
      </c>
      <c r="M57" s="5" t="n">
        <v>526990.1</v>
      </c>
      <c r="N57" s="5" t="n">
        <v>509542.05</v>
      </c>
      <c r="O57" s="5" t="n">
        <v>546725.98</v>
      </c>
      <c r="P57" s="5" t="n">
        <v>493746.03</v>
      </c>
      <c r="Q57" s="5" t="n">
        <v>623033.73</v>
      </c>
      <c r="R57" s="5" t="n">
        <v>6453401.98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60" customWidth="1" min="1" max="1"/>
  </cols>
  <sheetData>
    <row r="1">
      <c r="A1" s="4" t="inlineStr">
        <is>
          <t>Mapping built from Arjun's FY2025 financial workbook (Monthly P&amp;L, Salary, Consumption, TB). Points to confirm:</t>
        </is>
      </c>
    </row>
    <row r="2">
      <c r="A2" t="inlineStr">
        <is>
          <t>Q1. Third Party &amp; Professional Services (370,348.18) is mapped to OHC because it is MySmyle Company's EMR/management/IT recharge plus Calibrate and Platform Technologies. If you prefer OHF (no 'corporate office'), say so: one-line change, overhead ratio unchanged.</t>
        </is>
      </c>
    </row>
    <row r="3">
      <c r="A3" t="inlineStr">
        <is>
          <t>Q2. Staff on-costs, employees only (ruling 13 Oct 2026, Option 3 by nature of the cost): benefits / bonus / end-of-service / training (889,431.99) by the month's salary share of dentists / nurses / CSSD + technicians / back office; visas / labour (145,165.32) and staff medical insurance (50,409.29) by the month's headcount; clinician licences (34,349.57) to dentists and licensed nurses by headcount. The rest of Legal &amp; Professional (facility licences, accreditation, trade licence, civil defence, tenancy) stays OHF.</t>
        </is>
      </c>
    </row>
    <row r="4">
      <c r="A4" t="inlineStr">
        <is>
          <t>Q3. Laboratory cost type is 0 by ruling (13 Oct 2026): the clinic has no laboratory; in-house CAD/CAM materials, external lab invoices and implants are Prostheses, and the dental technicians' pay (SWAllied) is routed to the Prosthesis bucket. Pharmacy and Imaging consumables are split from stock only for the months with a stock-movement sheet; the other months keep them inside MS until the sheets arrive.</t>
        </is>
      </c>
    </row>
    <row r="5">
      <c r="A5" t="inlineStr">
        <is>
          <t>Q4. Fines (17,013.03), Claim Rejection (3,402.20) and Finance Charges (63,005.85) are kept in OHF because the locked ledger includes them. The Standard takes all GL expenses except balance-sheet items; confirm you want them in.</t>
        </is>
      </c>
    </row>
    <row r="6">
      <c r="A6" t="inlineStr">
        <is>
          <t>Q5. Cost-centre classes follow the cash-ledger coding (clinics 01-06, CSSD 07, OPG 08, LAB 09 = direct; reception 10-11, back office 12, server room 13 = overhead).</t>
        </is>
      </c>
    </row>
    <row r="8">
      <c r="A8" t="inlineStr">
        <is>
          <t>Overhead ratio by month: 01 26.7%, 02 27.2%, 03 30.6%, 04 37.3%, 05 28.7%, 06 36.1%, 07 35.0%, 08 35.5%, 09 37.0%, 10 32.8%, 11 37.5%, 12 31.1%; FY2025 32.9% (DOH band 20% to under 50%)</t>
        </is>
      </c>
    </row>
    <row r="10">
      <c r="A10" t="inlineStr">
        <is>
          <t>Reconciliation notes:</t>
        </is>
      </c>
    </row>
    <row r="11">
      <c r="A11" t="inlineStr">
        <is>
          <t>month 1: stock movement 102,127.48 vs Cost of Goods Sold 102,127.49: +0.01 placed on MS</t>
        </is>
      </c>
    </row>
    <row r="12">
      <c r="A12" t="inlineStr">
        <is>
          <t>month 6: stock movement 78,382.40 vs Cost of Goods Sold 78,382.41: +0.01 placed on MS</t>
        </is>
      </c>
    </row>
    <row r="13">
      <c r="A13" t="inlineStr">
        <is>
          <t>month 7: stock movement 69,512.68 vs Cost of Goods Sold 69,512.67: -0.01 placed on MS</t>
        </is>
      </c>
    </row>
    <row r="14">
      <c r="A14" t="inlineStr">
        <is>
          <t>month 8: stock movement 96,409.73 vs Cost of Goods Sold 96,841.55: +431.82 placed on MS</t>
        </is>
      </c>
    </row>
    <row r="15">
      <c r="A15" t="inlineStr">
        <is>
          <t>month 2: mapped total 532341.64 != ledger 532341.65 (-0.01)</t>
        </is>
      </c>
    </row>
    <row r="16">
      <c r="A16" t="inlineStr">
        <is>
          <t>month 3: mapped total 606868.86 != ledger 606868.87 (-0.01)</t>
        </is>
      </c>
    </row>
    <row r="17">
      <c r="A17" t="inlineStr">
        <is>
          <t>month 4: mapped total 518123.66 != ledger 518123.67 (-0.01)</t>
        </is>
      </c>
    </row>
    <row r="18">
      <c r="A18" t="inlineStr">
        <is>
          <t>month 5: mapped total 488066.68 != ledger 488066.69 (-0.01)</t>
        </is>
      </c>
    </row>
    <row r="19">
      <c r="A19" t="inlineStr">
        <is>
          <t>month 6: mapped total 616494.08 != ledger 616494.09 (-0.01)</t>
        </is>
      </c>
    </row>
    <row r="20">
      <c r="A20" t="inlineStr">
        <is>
          <t>month 7: mapped total 480166.81 != ledger 480166.82 (-0.01)</t>
        </is>
      </c>
    </row>
    <row r="21">
      <c r="A21" t="inlineStr">
        <is>
          <t>month 8: mapped total 526990.09 != ledger 526990.10 (-0.01)</t>
        </is>
      </c>
    </row>
    <row r="22">
      <c r="A22" t="inlineStr">
        <is>
          <t>month 9: mapped total 509542.04 != ledger 509542.05 (-0.01)</t>
        </is>
      </c>
    </row>
    <row r="23">
      <c r="A23" t="inlineStr">
        <is>
          <t>month 10: mapped total 546725.96 != ledger 546725.98 (-0.02)</t>
        </is>
      </c>
    </row>
    <row r="24">
      <c r="A24" t="inlineStr">
        <is>
          <t>month 12: mapped total 623033.72 != ledger 623033.73 (-0.01)</t>
        </is>
      </c>
    </row>
    <row r="25">
      <c r="A25" t="inlineStr">
        <is>
          <t>month 2: +0.01 added to OHF to tie to the locked ledger</t>
        </is>
      </c>
    </row>
    <row r="26">
      <c r="A26" t="inlineStr">
        <is>
          <t>month 3: +0.01 added to OHF to tie to the locked ledger</t>
        </is>
      </c>
    </row>
    <row r="27">
      <c r="A27" t="inlineStr">
        <is>
          <t>month 4: +0.01 added to OHF to tie to the locked ledger</t>
        </is>
      </c>
    </row>
    <row r="28">
      <c r="A28" t="inlineStr">
        <is>
          <t>month 5: +0.01 added to OHF to tie to the locked ledger</t>
        </is>
      </c>
    </row>
    <row r="29">
      <c r="A29" t="inlineStr">
        <is>
          <t>month 6: +0.01 added to OHF to tie to the locked ledger</t>
        </is>
      </c>
    </row>
    <row r="30">
      <c r="A30" t="inlineStr">
        <is>
          <t>month 7: +0.01 added to OHF to tie to the locked ledger</t>
        </is>
      </c>
    </row>
    <row r="31">
      <c r="A31" t="inlineStr">
        <is>
          <t>month 8: +0.01 added to OHF to tie to the locked ledger</t>
        </is>
      </c>
    </row>
    <row r="32">
      <c r="A32" t="inlineStr">
        <is>
          <t>month 9: +0.01 added to OHF to tie to the locked ledger</t>
        </is>
      </c>
    </row>
    <row r="33">
      <c r="A33" t="inlineStr">
        <is>
          <t>month 10: +0.02 added to OHF to tie to the locked ledger</t>
        </is>
      </c>
    </row>
    <row r="34">
      <c r="A34" t="inlineStr">
        <is>
          <t>month 12: +0.01 added to OHF to tie to the locked ledger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23"/>
  <sheetViews>
    <sheetView workbookViewId="0">
      <selection activeCell="A1" sqref="A1"/>
    </sheetView>
  </sheetViews>
  <sheetFormatPr baseColWidth="8" defaultRowHeight="15"/>
  <cols>
    <col width="150" customWidth="1" min="1" max="1"/>
  </cols>
  <sheetData>
    <row r="1">
      <c r="A1" s="4" t="inlineStr">
        <is>
          <t>Stock movement -&gt; cost type (usage net of internal returns; exchanges cancel; external lab from the P&amp;L)</t>
        </is>
      </c>
    </row>
    <row r="2">
      <c r="A2" t="inlineStr">
        <is>
          <t>M01: MS         01- Medical &amp; LAB Devices. Instruments- (DEV)   05- Medical Electronic Devices (Restorative, P      5,500.00</t>
        </is>
      </c>
    </row>
    <row r="3">
      <c r="A3" t="inlineStr">
        <is>
          <t>M01: MS         01- Medical &amp; LAB Devices. Instruments- (DEV)   06- Hand Instruments (Restorative, Perio, Endo         83.33</t>
        </is>
      </c>
    </row>
    <row r="4">
      <c r="A4" t="inlineStr">
        <is>
          <t>M01: MS         02- Drugs, Needles &amp; Triage- (DRG)              03- Vital Signs/ Emergency Supplies                   345.28</t>
        </is>
      </c>
    </row>
    <row r="5">
      <c r="A5" t="inlineStr">
        <is>
          <t>M01: MS         02- Drugs, Needles &amp; Triage- (DRG)              04- Needles &amp; Syringes                              1,993.20</t>
        </is>
      </c>
    </row>
    <row r="6">
      <c r="A6" t="inlineStr">
        <is>
          <t>M01: MS         03- Prevention &amp; Control of Infection- (PCI)    01- Personal Protective Equipment                   2,477.50</t>
        </is>
      </c>
    </row>
    <row r="7">
      <c r="A7" t="inlineStr">
        <is>
          <t>M01: MS         03- Prevention &amp; Control of Infection- (PCI)    02- Disinfectants &amp; Lubricants                      2,007.00</t>
        </is>
      </c>
    </row>
    <row r="8">
      <c r="A8" t="inlineStr">
        <is>
          <t>M01: MS         03- Prevention &amp; Control of Infection- (PCI)    03- General &amp; Waste Management                        540.65</t>
        </is>
      </c>
    </row>
    <row r="9">
      <c r="A9" t="inlineStr">
        <is>
          <t>M01: MS         03- Prevention &amp; Control of Infection- (PCI)    04- Wrapping &amp; Protective Materials                   338.00</t>
        </is>
      </c>
    </row>
    <row r="10">
      <c r="A10" t="inlineStr">
        <is>
          <t>M01: MS         03- Prevention &amp; Control of Infection- (PCI)    05- Sterilization Monitoring                          806.00</t>
        </is>
      </c>
    </row>
    <row r="11">
      <c r="A11" t="inlineStr">
        <is>
          <t>M01: MS         04- Dental Materials &amp; Supplies- (DMS)          01- Burs &amp; Stones Tools                             1,552.50</t>
        </is>
      </c>
    </row>
    <row r="12">
      <c r="A12" t="inlineStr">
        <is>
          <t>M01: MS         04- Dental Materials &amp; Supplies- (DMS)          03- Scaling / Gingiva Materials &amp; Supplies            756.62</t>
        </is>
      </c>
    </row>
    <row r="13">
      <c r="A13" t="inlineStr">
        <is>
          <t>M01: MS         04- Dental Materials &amp; Supplies- (DMS)          04- Restorative Fillings, Adhesives &amp; Supplies      4,441.00</t>
        </is>
      </c>
    </row>
    <row r="14">
      <c r="A14" t="inlineStr">
        <is>
          <t>M01: MS         04- Dental Materials &amp; Supplies- (DMS)          05- Endodontic Materials &amp; Posts Supplies           7,630.33</t>
        </is>
      </c>
    </row>
    <row r="15">
      <c r="A15" t="inlineStr">
        <is>
          <t>M01: MS         04- Dental Materials &amp; Supplies- (DMS)          06- Surgical Materials &amp; Supplies                     710.82</t>
        </is>
      </c>
    </row>
    <row r="16">
      <c r="A16" t="inlineStr">
        <is>
          <t>M01: MS         04- Dental Materials &amp; Supplies- (DMS)          07- Impression Materials &amp; Supplies                   690.50</t>
        </is>
      </c>
    </row>
    <row r="17">
      <c r="A17" t="inlineStr">
        <is>
          <t>M01: MS         04- Dental Materials &amp; Supplies- (DMS)          08- Bleaching Material &amp; Supplies                   1,700.00</t>
        </is>
      </c>
    </row>
    <row r="18">
      <c r="A18" t="inlineStr">
        <is>
          <t>M01: MS         04- Dental Materials &amp; Supplies- (DMS)          10- Patient Education Printouts &amp; Giveaways            90.00</t>
        </is>
      </c>
    </row>
    <row r="19">
      <c r="A19" t="inlineStr">
        <is>
          <t>M01: OHF        08- Facility Management &amp; (FMS)                 07- Pantry Supplies                                   847.80</t>
        </is>
      </c>
    </row>
    <row r="20">
      <c r="A20" t="inlineStr">
        <is>
          <t>M01: OHF        08- Facility Management &amp; (FMS)                 08- Stationaries &amp; Printing Supplies                  160.00</t>
        </is>
      </c>
    </row>
    <row r="21">
      <c r="A21" t="inlineStr">
        <is>
          <t>M01: Pharmacy   02- Drugs, Needles &amp; Triage- (DRG)              01- Local Anaesthetics                                682.00</t>
        </is>
      </c>
    </row>
    <row r="22">
      <c r="A22" t="inlineStr">
        <is>
          <t>M01: Pharmacy   04- Dental Materials &amp; Supplies- (DMS)          02- Nitrous &amp; Oxygen Sedation                         570.00</t>
        </is>
      </c>
    </row>
    <row r="23">
      <c r="A23" t="inlineStr">
        <is>
          <t>M01: Prostheses 05- Implants- (IMPL)                            01- Implant Fixtures                               27,500.00</t>
        </is>
      </c>
    </row>
    <row r="24">
      <c r="A24" t="inlineStr">
        <is>
          <t>M01: Prostheses 05- Implants- (IMPL)                            02- Healing &amp; Cover Screw                           3,699.00</t>
        </is>
      </c>
    </row>
    <row r="25">
      <c r="A25" t="inlineStr">
        <is>
          <t>M01: Prostheses 05- Implants- (IMPL)                            03- Abutments                                       6,652.00</t>
        </is>
      </c>
    </row>
    <row r="26">
      <c r="A26" t="inlineStr">
        <is>
          <t>M01: Prostheses 05- Implants- (IMPL)                            04- Implant Impression Tools &amp; Supplies               960.00</t>
        </is>
      </c>
    </row>
    <row r="27">
      <c r="A27" t="inlineStr">
        <is>
          <t>M01: Prostheses 05- Implants- (IMPL)                            05- Bone Grafting Materials, Synthetic             13,985.00</t>
        </is>
      </c>
    </row>
    <row r="28">
      <c r="A28" t="inlineStr">
        <is>
          <t>M01: Prostheses 06- Laboratory- (LAB)                           01- Lab Devices, Instruments, &amp; Accessories           130.00</t>
        </is>
      </c>
    </row>
    <row r="29">
      <c r="A29" t="inlineStr">
        <is>
          <t>M01: Prostheses 06- Laboratory- (LAB)                           02- Dental Blocks                                   3,889.75</t>
        </is>
      </c>
    </row>
    <row r="30">
      <c r="A30" t="inlineStr">
        <is>
          <t>M01: Prostheses 06- Laboratory- (LAB)                           03- Dental Blanks                                   1,875.00</t>
        </is>
      </c>
    </row>
    <row r="31">
      <c r="A31" t="inlineStr">
        <is>
          <t>M01: Prostheses 06- Laboratory- (LAB)                           04- 3D Inks &amp; Supplies                              5,000.00</t>
        </is>
      </c>
    </row>
    <row r="32">
      <c r="A32" t="inlineStr">
        <is>
          <t>M01: Prostheses 06- Laboratory- (LAB)                           05- Vacuum Machine Plates &amp; Supplies                   58.19</t>
        </is>
      </c>
    </row>
    <row r="33">
      <c r="A33" t="inlineStr">
        <is>
          <t>M01: Prostheses 06- Laboratory- (LAB)                           06- Dental Stone, Stains &amp; Wax                        985.00</t>
        </is>
      </c>
    </row>
    <row r="34">
      <c r="A34" t="inlineStr">
        <is>
          <t>M01: Prostheses 06- Laboratory- (LAB)                           07- Lab Drilling / Milling  Tools &amp; Accessorie      1,601.00</t>
        </is>
      </c>
    </row>
    <row r="35">
      <c r="A35" t="inlineStr">
        <is>
          <t>M01: Prostheses  External LAB invoices (Consumption sheet, cash in hand, not stock)                            1,870.00</t>
        </is>
      </c>
    </row>
    <row r="36">
      <c r="A36" t="inlineStr">
        <is>
          <t>M02: MS         01- Medical &amp; LAB Devices. Instruments- (DEV)   04- Hand Pieces, Scaler Devices &amp; Accessories       2,000.00</t>
        </is>
      </c>
    </row>
    <row r="37">
      <c r="A37" t="inlineStr">
        <is>
          <t>M02: MS         01- Medical &amp; LAB Devices. Instruments- (DEV)   06- Hand Instruments (Restorative, Perio, Endo        294.00</t>
        </is>
      </c>
    </row>
    <row r="38">
      <c r="A38" t="inlineStr">
        <is>
          <t>M02: MS         02- Drugs, Needles &amp; Triage- (DRG)              03- Vital Signs/ Emergency Supplies                    52.50</t>
        </is>
      </c>
    </row>
    <row r="39">
      <c r="A39" t="inlineStr">
        <is>
          <t>M02: MS         02- Drugs, Needles &amp; Triage- (DRG)              04- Needles &amp; Syringes                              1,713.18</t>
        </is>
      </c>
    </row>
    <row r="40">
      <c r="A40" t="inlineStr">
        <is>
          <t>M02: MS         03- Prevention &amp; Control of Infection- (PCI)    01- Personal Protective Equipment                   1,838.58</t>
        </is>
      </c>
    </row>
    <row r="41">
      <c r="A41" t="inlineStr">
        <is>
          <t>M02: MS         03- Prevention &amp; Control of Infection- (PCI)    02- Disinfectants &amp; Lubricants                      1,740.50</t>
        </is>
      </c>
    </row>
    <row r="42">
      <c r="A42" t="inlineStr">
        <is>
          <t>M02: MS         03- Prevention &amp; Control of Infection- (PCI)    03- General &amp; Waste Management                        556.95</t>
        </is>
      </c>
    </row>
    <row r="43">
      <c r="A43" t="inlineStr">
        <is>
          <t>M02: MS         03- Prevention &amp; Control of Infection- (PCI)    04- Wrapping &amp; Protective Materials                   348.00</t>
        </is>
      </c>
    </row>
    <row r="44">
      <c r="A44" t="inlineStr">
        <is>
          <t>M02: MS         03- Prevention &amp; Control of Infection- (PCI)    05- Sterilization Monitoring                          494.50</t>
        </is>
      </c>
    </row>
    <row r="45">
      <c r="A45" t="inlineStr">
        <is>
          <t>M02: MS         04- Dental Materials &amp; Supplies- (DMS)          01- Burs &amp; Stones Tools                               530.00</t>
        </is>
      </c>
    </row>
    <row r="46">
      <c r="A46" t="inlineStr">
        <is>
          <t>M02: MS         04- Dental Materials &amp; Supplies- (DMS)          03- Scaling / Gingiva Materials &amp; Supplies          1,104.40</t>
        </is>
      </c>
    </row>
    <row r="47">
      <c r="A47" t="inlineStr">
        <is>
          <t>M02: MS         04- Dental Materials &amp; Supplies- (DMS)          04- Restorative Fillings, Adhesives &amp; Supplies      6,051.17</t>
        </is>
      </c>
    </row>
    <row r="48">
      <c r="A48" t="inlineStr">
        <is>
          <t>M02: MS         04- Dental Materials &amp; Supplies- (DMS)          05- Endodontic Materials &amp; Posts Supplies           7,108.67</t>
        </is>
      </c>
    </row>
    <row r="49">
      <c r="A49" t="inlineStr">
        <is>
          <t>M02: MS         04- Dental Materials &amp; Supplies- (DMS)          06- Surgical Materials &amp; Supplies                     424.25</t>
        </is>
      </c>
    </row>
    <row r="50">
      <c r="A50" t="inlineStr">
        <is>
          <t>M02: MS         04- Dental Materials &amp; Supplies- (DMS)          07- Impression Materials &amp; Supplies                 1,726.00</t>
        </is>
      </c>
    </row>
    <row r="51">
      <c r="A51" t="inlineStr">
        <is>
          <t>M02: MS         04- Dental Materials &amp; Supplies- (DMS)          09- Orthodontic Materials &amp; Supplies                1,974.26</t>
        </is>
      </c>
    </row>
    <row r="52">
      <c r="A52" t="inlineStr">
        <is>
          <t>M02: MS         04- Dental Materials &amp; Supplies- (DMS)          10- Patient Education Printouts &amp; Giveaways           410.00</t>
        </is>
      </c>
    </row>
    <row r="53">
      <c r="A53" t="inlineStr">
        <is>
          <t>M02: OHF        08- Facility Management &amp; (FMS)                 07- Pantry Supplies                                   652.40</t>
        </is>
      </c>
    </row>
    <row r="54">
      <c r="A54" t="inlineStr">
        <is>
          <t>M02: OHF        08- Facility Management &amp; (FMS)                 08- Stationaries &amp; Printing Supplies                  103.00</t>
        </is>
      </c>
    </row>
    <row r="55">
      <c r="A55" t="inlineStr">
        <is>
          <t>M02: Pharmacy   02- Drugs, Needles &amp; Triage- (DRG)              01- Local Anaesthetics                                407.00</t>
        </is>
      </c>
    </row>
    <row r="56">
      <c r="A56" t="inlineStr">
        <is>
          <t>M02: Pharmacy   04- Dental Materials &amp; Supplies- (DMS)          02- Nitrous &amp; Oxygen Sedation                         690.00</t>
        </is>
      </c>
    </row>
    <row r="57">
      <c r="A57" t="inlineStr">
        <is>
          <t>M02: Prostheses 05- Implants- (IMPL)                            01- Implant Fixtures                               28,750.00</t>
        </is>
      </c>
    </row>
    <row r="58">
      <c r="A58" t="inlineStr">
        <is>
          <t>M02: Prostheses 05- Implants- (IMPL)                            02- Healing &amp; Cover Screw                           1,096.00</t>
        </is>
      </c>
    </row>
    <row r="59">
      <c r="A59" t="inlineStr">
        <is>
          <t>M02: Prostheses 05- Implants- (IMPL)                            03- Abutments                                       1,750.00</t>
        </is>
      </c>
    </row>
    <row r="60">
      <c r="A60" t="inlineStr">
        <is>
          <t>M02: Prostheses 05- Implants- (IMPL)                            04- Implant Impression Tools &amp; Supplies             2,525.00</t>
        </is>
      </c>
    </row>
    <row r="61">
      <c r="A61" t="inlineStr">
        <is>
          <t>M02: Prostheses 05- Implants- (IMPL)                            05- Bone Grafting Materials, Synthetic              9,150.00</t>
        </is>
      </c>
    </row>
    <row r="62">
      <c r="A62" t="inlineStr">
        <is>
          <t>M02: Prostheses 06- Laboratory- (LAB)                           02- Dental Blocks                                   4,870.00</t>
        </is>
      </c>
    </row>
    <row r="63">
      <c r="A63" t="inlineStr">
        <is>
          <t>M02: Prostheses 06- Laboratory- (LAB)                           03- Dental Blanks                                   3,025.00</t>
        </is>
      </c>
    </row>
    <row r="64">
      <c r="A64" t="inlineStr">
        <is>
          <t>M02: Prostheses 06- Laboratory- (LAB)                           04- 3D Inks &amp; Supplies                              1,500.00</t>
        </is>
      </c>
    </row>
    <row r="65">
      <c r="A65" t="inlineStr">
        <is>
          <t>M02: Prostheses 06- Laboratory- (LAB)                           05- Vacuum Machine Plates &amp; Supplies                  154.04</t>
        </is>
      </c>
    </row>
    <row r="66">
      <c r="A66" t="inlineStr">
        <is>
          <t>M02: Prostheses 06- Laboratory- (LAB)                           06- Dental Stone, Stains &amp; Wax                      3,700.00</t>
        </is>
      </c>
    </row>
    <row r="67">
      <c r="A67" t="inlineStr">
        <is>
          <t>M02: Prostheses 06- Laboratory- (LAB)                           07- Lab Drilling / Milling  Tools &amp; Accessorie      2,024.41</t>
        </is>
      </c>
    </row>
    <row r="68">
      <c r="A68" t="inlineStr">
        <is>
          <t>M02: Prostheses 06- Laboratory- (LAB)                           09- External Lab &amp; Invisaligns                        285.00</t>
        </is>
      </c>
    </row>
    <row r="69">
      <c r="A69" t="inlineStr">
        <is>
          <t>M02: Prostheses  External LAB invoices (Consumption sheet, cash in hand, not stock)                              200.00</t>
        </is>
      </c>
    </row>
    <row r="70">
      <c r="A70" t="inlineStr">
        <is>
          <t>M03: MS         01- Medical &amp; LAB Devices. Instruments- (DEV)   06- Hand Instruments (Restorative, Perio, Endo      4,650.00</t>
        </is>
      </c>
    </row>
    <row r="71">
      <c r="A71" t="inlineStr">
        <is>
          <t>M03: MS         02- Drugs, Needles &amp; Triage- (DRG)              03- Vital Signs/ Emergency Supplies                    17.50</t>
        </is>
      </c>
    </row>
    <row r="72">
      <c r="A72" t="inlineStr">
        <is>
          <t>M03: MS         02- Drugs, Needles &amp; Triage- (DRG)              04- Needles &amp; Syringes                              1,549.88</t>
        </is>
      </c>
    </row>
    <row r="73">
      <c r="A73" t="inlineStr">
        <is>
          <t>M03: MS         03- Prevention &amp; Control of Infection- (PCI)    01- Personal Protective Equipment                   2,033.17</t>
        </is>
      </c>
    </row>
    <row r="74">
      <c r="A74" t="inlineStr">
        <is>
          <t>M03: MS         03- Prevention &amp; Control of Infection- (PCI)    02- Disinfectants &amp; Lubricants                      2,806.00</t>
        </is>
      </c>
    </row>
    <row r="75">
      <c r="A75" t="inlineStr">
        <is>
          <t>M03: MS         03- Prevention &amp; Control of Infection- (PCI)    03- General &amp; Waste Management                        643.35</t>
        </is>
      </c>
    </row>
    <row r="76">
      <c r="A76" t="inlineStr">
        <is>
          <t>M03: MS         03- Prevention &amp; Control of Infection- (PCI)    04- Wrapping &amp; Protective Materials                   310.00</t>
        </is>
      </c>
    </row>
    <row r="77">
      <c r="A77" t="inlineStr">
        <is>
          <t>M03: MS         03- Prevention &amp; Control of Infection- (PCI)    05- Sterilization Monitoring                          816.50</t>
        </is>
      </c>
    </row>
    <row r="78">
      <c r="A78" t="inlineStr">
        <is>
          <t>M03: MS         04- Dental Materials &amp; Supplies- (DMS)          01- Burs &amp; Stones Tools                               905.00</t>
        </is>
      </c>
    </row>
    <row r="79">
      <c r="A79" t="inlineStr">
        <is>
          <t>M03: MS         04- Dental Materials &amp; Supplies- (DMS)          03- Scaling / Gingiva Materials &amp; Supplies            450.75</t>
        </is>
      </c>
    </row>
    <row r="80">
      <c r="A80" t="inlineStr">
        <is>
          <t>M03: MS         04- Dental Materials &amp; Supplies- (DMS)          04- Restorative Fillings, Adhesives &amp; Supplies      5,920.00</t>
        </is>
      </c>
    </row>
    <row r="81">
      <c r="A81" t="inlineStr">
        <is>
          <t>M03: MS         04- Dental Materials &amp; Supplies- (DMS)          05- Endodontic Materials &amp; Posts Supplies           4,666.00</t>
        </is>
      </c>
    </row>
    <row r="82">
      <c r="A82" t="inlineStr">
        <is>
          <t>M03: MS         04- Dental Materials &amp; Supplies- (DMS)          06- Surgical Materials &amp; Supplies                     611.53</t>
        </is>
      </c>
    </row>
    <row r="83">
      <c r="A83" t="inlineStr">
        <is>
          <t>M03: MS         04- Dental Materials &amp; Supplies- (DMS)          07- Impression Materials &amp; Supplies                   984.75</t>
        </is>
      </c>
    </row>
    <row r="84">
      <c r="A84" t="inlineStr">
        <is>
          <t>M03: MS         04- Dental Materials &amp; Supplies- (DMS)          08- Bleaching Material &amp; Supplies                   1,200.00</t>
        </is>
      </c>
    </row>
    <row r="85">
      <c r="A85" t="inlineStr">
        <is>
          <t>M03: MS         04- Dental Materials &amp; Supplies- (DMS)          09- Orthodontic Materials &amp; Supplies                3,226.00</t>
        </is>
      </c>
    </row>
    <row r="86">
      <c r="A86" t="inlineStr">
        <is>
          <t>M03: MS         04- Dental Materials &amp; Supplies- (DMS)          10- Patient Education Printouts &amp; Giveaways           176.00</t>
        </is>
      </c>
    </row>
    <row r="87">
      <c r="A87" t="inlineStr">
        <is>
          <t>M03: OHF        08- Facility Management &amp; (FMS)                 07- Pantry Supplies                                   556.40</t>
        </is>
      </c>
    </row>
    <row r="88">
      <c r="A88" t="inlineStr">
        <is>
          <t>M03: OHF        08- Facility Management &amp; (FMS)                 08- Stationaries &amp; Printing Supplies                   80.00</t>
        </is>
      </c>
    </row>
    <row r="89">
      <c r="A89" t="inlineStr">
        <is>
          <t>M03: Pharmacy   02- Drugs, Needles &amp; Triage- (DRG)              01- Local Anaesthetics                                502.00</t>
        </is>
      </c>
    </row>
    <row r="90">
      <c r="A90" t="inlineStr">
        <is>
          <t>M03: Pharmacy   02- Drugs, Needles &amp; Triage- (DRG)              02- Medicines &amp; Medicaments                            51.15</t>
        </is>
      </c>
    </row>
    <row r="91">
      <c r="A91" t="inlineStr">
        <is>
          <t>M03: Pharmacy   04- Dental Materials &amp; Supplies- (DMS)          02- Nitrous &amp; Oxygen Sedation                         510.00</t>
        </is>
      </c>
    </row>
    <row r="92">
      <c r="A92" t="inlineStr">
        <is>
          <t>M03: Prostheses 05- Implants- (IMPL)                            01- Implant Fixtures                               21,250.00</t>
        </is>
      </c>
    </row>
    <row r="93">
      <c r="A93" t="inlineStr">
        <is>
          <t>M03: Prostheses 05- Implants- (IMPL)                            02- Healing &amp; Cover Screw                           1,233.00</t>
        </is>
      </c>
    </row>
    <row r="94">
      <c r="A94" t="inlineStr">
        <is>
          <t>M03: Prostheses 05- Implants- (IMPL)                            03- Abutments                                       8,355.00</t>
        </is>
      </c>
    </row>
    <row r="95">
      <c r="A95" t="inlineStr">
        <is>
          <t>M03: Prostheses 05- Implants- (IMPL)                            04- Implant Impression Tools &amp; Supplies             1,435.00</t>
        </is>
      </c>
    </row>
    <row r="96">
      <c r="A96" t="inlineStr">
        <is>
          <t>M03: Prostheses 05- Implants- (IMPL)                            05- Bone Grafting Materials, Synthetic              7,850.00</t>
        </is>
      </c>
    </row>
    <row r="97">
      <c r="A97" t="inlineStr">
        <is>
          <t>M03: Prostheses 06- Laboratory- (LAB)                           01- Lab Devices, Instruments, &amp; Accessories           370.00</t>
        </is>
      </c>
    </row>
    <row r="98">
      <c r="A98" t="inlineStr">
        <is>
          <t>M03: Prostheses 06- Laboratory- (LAB)                           02- Dental Blocks                                   3,000.00</t>
        </is>
      </c>
    </row>
    <row r="99">
      <c r="A99" t="inlineStr">
        <is>
          <t>M03: Prostheses 06- Laboratory- (LAB)                           03- Dental Blanks                                   2,500.00</t>
        </is>
      </c>
    </row>
    <row r="100">
      <c r="A100" t="inlineStr">
        <is>
          <t>M03: Prostheses 06- Laboratory- (LAB)                           04- 3D Inks &amp; Supplies                              6,220.00</t>
        </is>
      </c>
    </row>
    <row r="101">
      <c r="A101" t="inlineStr">
        <is>
          <t>M03: Prostheses 06- Laboratory- (LAB)                           05- Vacuum Machine Plates &amp; Supplies                  141.68</t>
        </is>
      </c>
    </row>
    <row r="102">
      <c r="A102" t="inlineStr">
        <is>
          <t>M03: Prostheses 06- Laboratory- (LAB)                           06- Dental Stone, Stains &amp; Wax                        940.00</t>
        </is>
      </c>
    </row>
    <row r="103">
      <c r="A103" t="inlineStr">
        <is>
          <t>M03: Prostheses 06- Laboratory- (LAB)                           07- Lab Drilling / Milling  Tools &amp; Accessorie        996.74</t>
        </is>
      </c>
    </row>
    <row r="104">
      <c r="A104" t="inlineStr">
        <is>
          <t>M03: Prostheses 06- Laboratory- (LAB)                           09- External Lab &amp; Invisaligns                     10,145.00</t>
        </is>
      </c>
    </row>
    <row r="105">
      <c r="A105" t="inlineStr">
        <is>
          <t>M03: Prostheses  External LAB invoices (Consumption sheet, cash in hand, not stock)                            7,285.00</t>
        </is>
      </c>
    </row>
    <row r="106">
      <c r="A106" t="inlineStr">
        <is>
          <t>M04: MS         01- Medical &amp; LAB Devices. Instruments- (DEV)   06- Hand Instruments (Restorative, Perio, Endo      4,650.00</t>
        </is>
      </c>
    </row>
    <row r="107">
      <c r="A107" t="inlineStr">
        <is>
          <t>M04: MS         02- Drugs, Needles &amp; Triage- (DRG)              03- Vital Signs/ Emergency Supplies                    17.50</t>
        </is>
      </c>
    </row>
    <row r="108">
      <c r="A108" t="inlineStr">
        <is>
          <t>M04: MS         02- Drugs, Needles &amp; Triage- (DRG)              04- Needles &amp; Syringes                              1,549.88</t>
        </is>
      </c>
    </row>
    <row r="109">
      <c r="A109" t="inlineStr">
        <is>
          <t>M04: MS         03- Prevention &amp; Control of Infection- (PCI)    01- Personal Protective Equipment                   2,033.17</t>
        </is>
      </c>
    </row>
    <row r="110">
      <c r="A110" t="inlineStr">
        <is>
          <t>M04: MS         03- Prevention &amp; Control of Infection- (PCI)    02- Disinfectants &amp; Lubricants                      2,806.00</t>
        </is>
      </c>
    </row>
    <row r="111">
      <c r="A111" t="inlineStr">
        <is>
          <t>M04: MS         03- Prevention &amp; Control of Infection- (PCI)    03- General &amp; Waste Management                        643.35</t>
        </is>
      </c>
    </row>
    <row r="112">
      <c r="A112" t="inlineStr">
        <is>
          <t>M04: MS         03- Prevention &amp; Control of Infection- (PCI)    04- Wrapping &amp; Protective Materials                   310.00</t>
        </is>
      </c>
    </row>
    <row r="113">
      <c r="A113" t="inlineStr">
        <is>
          <t>M04: MS         03- Prevention &amp; Control of Infection- (PCI)    05- Sterilization Monitoring                          816.50</t>
        </is>
      </c>
    </row>
    <row r="114">
      <c r="A114" t="inlineStr">
        <is>
          <t>M04: MS         04- Dental Materials &amp; Supplies- (DMS)          01- Burs &amp; Stones Tools                               905.00</t>
        </is>
      </c>
    </row>
    <row r="115">
      <c r="A115" t="inlineStr">
        <is>
          <t>M04: MS         04- Dental Materials &amp; Supplies- (DMS)          03- Scaling / Gingiva Materials &amp; Supplies            450.75</t>
        </is>
      </c>
    </row>
    <row r="116">
      <c r="A116" t="inlineStr">
        <is>
          <t>M04: MS         04- Dental Materials &amp; Supplies- (DMS)          04- Restorative Fillings, Adhesives &amp; Supplies      5,920.00</t>
        </is>
      </c>
    </row>
    <row r="117">
      <c r="A117" t="inlineStr">
        <is>
          <t>M04: MS         04- Dental Materials &amp; Supplies- (DMS)          05- Endodontic Materials &amp; Posts Supplies           4,666.00</t>
        </is>
      </c>
    </row>
    <row r="118">
      <c r="A118" t="inlineStr">
        <is>
          <t>M04: MS         04- Dental Materials &amp; Supplies- (DMS)          06- Surgical Materials &amp; Supplies                     611.53</t>
        </is>
      </c>
    </row>
    <row r="119">
      <c r="A119" t="inlineStr">
        <is>
          <t>M04: MS         04- Dental Materials &amp; Supplies- (DMS)          07- Impression Materials &amp; Supplies                   984.75</t>
        </is>
      </c>
    </row>
    <row r="120">
      <c r="A120" t="inlineStr">
        <is>
          <t>M04: MS         04- Dental Materials &amp; Supplies- (DMS)          08- Bleaching Material &amp; Supplies                   1,200.00</t>
        </is>
      </c>
    </row>
    <row r="121">
      <c r="A121" t="inlineStr">
        <is>
          <t>M04: MS         04- Dental Materials &amp; Supplies- (DMS)          09- Orthodontic Materials &amp; Supplies                3,226.00</t>
        </is>
      </c>
    </row>
    <row r="122">
      <c r="A122" t="inlineStr">
        <is>
          <t>M04: MS         04- Dental Materials &amp; Supplies- (DMS)          10- Patient Education Printouts &amp; Giveaways           176.00</t>
        </is>
      </c>
    </row>
    <row r="123">
      <c r="A123" t="inlineStr">
        <is>
          <t>M04: OHF        08- Facility Management &amp; (FMS)                 07- Pantry Supplies                                   556.40</t>
        </is>
      </c>
    </row>
    <row r="124">
      <c r="A124" t="inlineStr">
        <is>
          <t>M04: OHF        08- Facility Management &amp; (FMS)                 08- Stationaries &amp; Printing Supplies                   80.00</t>
        </is>
      </c>
    </row>
    <row r="125">
      <c r="A125" t="inlineStr">
        <is>
          <t>M04: Pharmacy   02- Drugs, Needles &amp; Triage- (DRG)              01- Local Anaesthetics                                502.00</t>
        </is>
      </c>
    </row>
    <row r="126">
      <c r="A126" t="inlineStr">
        <is>
          <t>M04: Pharmacy   02- Drugs, Needles &amp; Triage- (DRG)              02- Medicines &amp; Medicaments                            51.15</t>
        </is>
      </c>
    </row>
    <row r="127">
      <c r="A127" t="inlineStr">
        <is>
          <t>M04: Pharmacy   04- Dental Materials &amp; Supplies- (DMS)          02- Nitrous &amp; Oxygen Sedation                         510.00</t>
        </is>
      </c>
    </row>
    <row r="128">
      <c r="A128" t="inlineStr">
        <is>
          <t>M04: Prostheses 05- Implants- (IMPL)                            01- Implant Fixtures                               21,250.00</t>
        </is>
      </c>
    </row>
    <row r="129">
      <c r="A129" t="inlineStr">
        <is>
          <t>M04: Prostheses 05- Implants- (IMPL)                            02- Healing &amp; Cover Screw                           1,233.00</t>
        </is>
      </c>
    </row>
    <row r="130">
      <c r="A130" t="inlineStr">
        <is>
          <t>M04: Prostheses 05- Implants- (IMPL)                            03- Abutments                                       8,355.00</t>
        </is>
      </c>
    </row>
    <row r="131">
      <c r="A131" t="inlineStr">
        <is>
          <t>M04: Prostheses 05- Implants- (IMPL)                            04- Implant Impression Tools &amp; Supplies             1,435.00</t>
        </is>
      </c>
    </row>
    <row r="132">
      <c r="A132" t="inlineStr">
        <is>
          <t>M04: Prostheses 05- Implants- (IMPL)                            05- Bone Grafting Materials, Synthetic              7,850.00</t>
        </is>
      </c>
    </row>
    <row r="133">
      <c r="A133" t="inlineStr">
        <is>
          <t>M04: Prostheses 06- Laboratory- (LAB)                           01- Lab Devices, Instruments, &amp; Accessories           370.00</t>
        </is>
      </c>
    </row>
    <row r="134">
      <c r="A134" t="inlineStr">
        <is>
          <t>M04: Prostheses 06- Laboratory- (LAB)                           02- Dental Blocks                                   3,000.00</t>
        </is>
      </c>
    </row>
    <row r="135">
      <c r="A135" t="inlineStr">
        <is>
          <t>M04: Prostheses 06- Laboratory- (LAB)                           03- Dental Blanks                                   2,500.00</t>
        </is>
      </c>
    </row>
    <row r="136">
      <c r="A136" t="inlineStr">
        <is>
          <t>M04: Prostheses 06- Laboratory- (LAB)                           04- 3D Inks &amp; Supplies                              6,220.00</t>
        </is>
      </c>
    </row>
    <row r="137">
      <c r="A137" t="inlineStr">
        <is>
          <t>M04: Prostheses 06- Laboratory- (LAB)                           05- Vacuum Machine Plates &amp; Supplies                  141.68</t>
        </is>
      </c>
    </row>
    <row r="138">
      <c r="A138" t="inlineStr">
        <is>
          <t>M04: Prostheses 06- Laboratory- (LAB)                           06- Dental Stone, Stains &amp; Wax                        940.00</t>
        </is>
      </c>
    </row>
    <row r="139">
      <c r="A139" t="inlineStr">
        <is>
          <t>M04: Prostheses 06- Laboratory- (LAB)                           07- Lab Drilling / Milling  Tools &amp; Accessorie        996.74</t>
        </is>
      </c>
    </row>
    <row r="140">
      <c r="A140" t="inlineStr">
        <is>
          <t>M04: Prostheses 06- Laboratory- (LAB)                           09- External Lab &amp; Invisaligns                     10,145.00</t>
        </is>
      </c>
    </row>
    <row r="141">
      <c r="A141" t="inlineStr">
        <is>
          <t>M04: Prostheses  External LAB invoices (Consumption sheet, cash in hand, not stock)                            1,735.00</t>
        </is>
      </c>
    </row>
    <row r="142">
      <c r="A142" t="inlineStr">
        <is>
          <t>M05: MS         01- Medical &amp; LAB Devices. Instruments- (DEV)   04- Hand Pieces, Scaler Devices &amp; Accessories         390.51</t>
        </is>
      </c>
    </row>
    <row r="143">
      <c r="A143" t="inlineStr">
        <is>
          <t>M05: MS         01- Medical &amp; LAB Devices. Instruments- (DEV)   06- Hand Instruments (Restorative, Perio, Endo        173.33</t>
        </is>
      </c>
    </row>
    <row r="144">
      <c r="A144" t="inlineStr">
        <is>
          <t>M05: MS         02- Drugs, Needles &amp; Triage- (DRG)              03- Vital Signs/ Emergency Supplies                    52.50</t>
        </is>
      </c>
    </row>
    <row r="145">
      <c r="A145" t="inlineStr">
        <is>
          <t>M05: MS         02- Drugs, Needles &amp; Triage- (DRG)              04- Needles &amp; Syringes                              2,174.54</t>
        </is>
      </c>
    </row>
    <row r="146">
      <c r="A146" t="inlineStr">
        <is>
          <t>M05: MS         03- Prevention &amp; Control of Infection- (PCI)    01- Personal Protective Equipment                   2,233.04</t>
        </is>
      </c>
    </row>
    <row r="147">
      <c r="A147" t="inlineStr">
        <is>
          <t>M05: MS         03- Prevention &amp; Control of Infection- (PCI)    02- Disinfectants &amp; Lubricants                      1,792.50</t>
        </is>
      </c>
    </row>
    <row r="148">
      <c r="A148" t="inlineStr">
        <is>
          <t>M05: MS         03- Prevention &amp; Control of Infection- (PCI)    03- General &amp; Waste Management                        516.79</t>
        </is>
      </c>
    </row>
    <row r="149">
      <c r="A149" t="inlineStr">
        <is>
          <t>M05: MS         03- Prevention &amp; Control of Infection- (PCI)    04- Wrapping &amp; Protective Materials                   366.00</t>
        </is>
      </c>
    </row>
    <row r="150">
      <c r="A150" t="inlineStr">
        <is>
          <t>M05: MS         03- Prevention &amp; Control of Infection- (PCI)    05- Sterilization Monitoring                          441.45</t>
        </is>
      </c>
    </row>
    <row r="151">
      <c r="A151" t="inlineStr">
        <is>
          <t>M05: MS         04- Dental Materials &amp; Supplies- (DMS)          01- Burs &amp; Stones Tools                               570.00</t>
        </is>
      </c>
    </row>
    <row r="152">
      <c r="A152" t="inlineStr">
        <is>
          <t>M05: MS         04- Dental Materials &amp; Supplies- (DMS)          03- Scaling / Gingiva Materials &amp; Supplies            698.35</t>
        </is>
      </c>
    </row>
    <row r="153">
      <c r="A153" t="inlineStr">
        <is>
          <t>M05: MS         04- Dental Materials &amp; Supplies- (DMS)          04- Restorative Fillings, Adhesives &amp; Supplies      5,727.00</t>
        </is>
      </c>
    </row>
    <row r="154">
      <c r="A154" t="inlineStr">
        <is>
          <t>M05: MS         04- Dental Materials &amp; Supplies- (DMS)          05- Endodontic Materials &amp; Posts Supplies           4,893.67</t>
        </is>
      </c>
    </row>
    <row r="155">
      <c r="A155" t="inlineStr">
        <is>
          <t>M05: MS         04- Dental Materials &amp; Supplies- (DMS)          06- Surgical Materials &amp; Supplies                     197.60</t>
        </is>
      </c>
    </row>
    <row r="156">
      <c r="A156" t="inlineStr">
        <is>
          <t>M05: MS         04- Dental Materials &amp; Supplies- (DMS)          07- Impression Materials &amp; Supplies                   970.50</t>
        </is>
      </c>
    </row>
    <row r="157">
      <c r="A157" t="inlineStr">
        <is>
          <t>M05: MS         04- Dental Materials &amp; Supplies- (DMS)          08- Bleaching Material &amp; Supplies                     400.00</t>
        </is>
      </c>
    </row>
    <row r="158">
      <c r="A158" t="inlineStr">
        <is>
          <t>M05: MS         04- Dental Materials &amp; Supplies- (DMS)          09- Orthodontic Materials &amp; Supplies                2,019.20</t>
        </is>
      </c>
    </row>
    <row r="159">
      <c r="A159" t="inlineStr">
        <is>
          <t>M05: MS         04- Dental Materials &amp; Supplies- (DMS)          10- Patient Education Printouts &amp; Giveaways           426.50</t>
        </is>
      </c>
    </row>
    <row r="160">
      <c r="A160" t="inlineStr">
        <is>
          <t>M05: OHF        08- Facility Management &amp; (FMS)                 07- Pantry Supplies                                   108.00</t>
        </is>
      </c>
    </row>
    <row r="161">
      <c r="A161" t="inlineStr">
        <is>
          <t>M05: OHF        08- Facility Management &amp; (FMS)                 08- Stationaries &amp; Printing Supplies                  733.00</t>
        </is>
      </c>
    </row>
    <row r="162">
      <c r="A162" t="inlineStr">
        <is>
          <t>M05: Pharmacy   02- Drugs, Needles &amp; Triage- (DRG)              01- Local Anaesthetics                                462.00</t>
        </is>
      </c>
    </row>
    <row r="163">
      <c r="A163" t="inlineStr">
        <is>
          <t>M05: Pharmacy   04- Dental Materials &amp; Supplies- (DMS)          02- Nitrous &amp; Oxygen Sedation                         690.00</t>
        </is>
      </c>
    </row>
    <row r="164">
      <c r="A164" t="inlineStr">
        <is>
          <t>M05: Prostheses 05- Implants- (IMPL)                            01- Implant Fixtures                               32,196.97</t>
        </is>
      </c>
    </row>
    <row r="165">
      <c r="A165" t="inlineStr">
        <is>
          <t>M05: Prostheses 05- Implants- (IMPL)                            03- Abutments                                         700.00</t>
        </is>
      </c>
    </row>
    <row r="166">
      <c r="A166" t="inlineStr">
        <is>
          <t>M05: Prostheses 05- Implants- (IMPL)                            04- Implant Impression Tools &amp; Supplies               640.00</t>
        </is>
      </c>
    </row>
    <row r="167">
      <c r="A167" t="inlineStr">
        <is>
          <t>M05: Prostheses 05- Implants- (IMPL)                            05- Bone Grafting Materials, Synthetic              8,935.00</t>
        </is>
      </c>
    </row>
    <row r="168">
      <c r="A168" t="inlineStr">
        <is>
          <t>M05: Prostheses 06- Laboratory- (LAB)                           03- Dental Blanks                                   3,000.00</t>
        </is>
      </c>
    </row>
    <row r="169">
      <c r="A169" t="inlineStr">
        <is>
          <t>M05: Prostheses 06- Laboratory- (LAB)                           04- 3D Inks &amp; Supplies                              2,560.00</t>
        </is>
      </c>
    </row>
    <row r="170">
      <c r="A170" t="inlineStr">
        <is>
          <t>M05: Prostheses 06- Laboratory- (LAB)                           05- Vacuum Machine Plates &amp; Supplies                   52.08</t>
        </is>
      </c>
    </row>
    <row r="171">
      <c r="A171" t="inlineStr">
        <is>
          <t>M05: Prostheses 06- Laboratory- (LAB)                           06- Dental Stone, Stains &amp; Wax                        185.00</t>
        </is>
      </c>
    </row>
    <row r="172">
      <c r="A172" t="inlineStr">
        <is>
          <t>M05: Prostheses 06- Laboratory- (LAB)                           07- Lab Drilling / Milling  Tools &amp; Accessorie        520.00</t>
        </is>
      </c>
    </row>
    <row r="173">
      <c r="A173" t="inlineStr">
        <is>
          <t>M05: Prostheses  External LAB invoices (Consumption sheet, cash in hand, not stock)                            7,425.00</t>
        </is>
      </c>
    </row>
    <row r="174">
      <c r="A174" t="inlineStr">
        <is>
          <t>M06: MS         01- Medical &amp; LAB Devices. Instruments- (DEV)   04- Hand Pieces, Scaler Devices &amp; Accessories         100.51</t>
        </is>
      </c>
    </row>
    <row r="175">
      <c r="A175" t="inlineStr">
        <is>
          <t>M06: MS         02- Drugs, Needles &amp; Triage- (DRG)              03- Vital Signs/ Emergency Supplies                   218.00</t>
        </is>
      </c>
    </row>
    <row r="176">
      <c r="A176" t="inlineStr">
        <is>
          <t>M06: MS         02- Drugs, Needles &amp; Triage- (DRG)              04- Needles &amp; Syringes                              1,628.34</t>
        </is>
      </c>
    </row>
    <row r="177">
      <c r="A177" t="inlineStr">
        <is>
          <t>M06: MS         03- Prevention &amp; Control of Infection- (PCI)    01- Personal Protective Equipment                   1,879.79</t>
        </is>
      </c>
    </row>
    <row r="178">
      <c r="A178" t="inlineStr">
        <is>
          <t>M06: MS         03- Prevention &amp; Control of Infection- (PCI)    02- Disinfectants &amp; Lubricants                      1,546.00</t>
        </is>
      </c>
    </row>
    <row r="179">
      <c r="A179" t="inlineStr">
        <is>
          <t>M06: MS         03- Prevention &amp; Control of Infection- (PCI)    03- General &amp; Waste Management                        839.26</t>
        </is>
      </c>
    </row>
    <row r="180">
      <c r="A180" t="inlineStr">
        <is>
          <t>M06: MS         03- Prevention &amp; Control of Infection- (PCI)    04- Wrapping &amp; Protective Materials                   274.00</t>
        </is>
      </c>
    </row>
    <row r="181">
      <c r="A181" t="inlineStr">
        <is>
          <t>M06: MS         03- Prevention &amp; Control of Infection- (PCI)    05- Sterilization Monitoring                          512.40</t>
        </is>
      </c>
    </row>
    <row r="182">
      <c r="A182" t="inlineStr">
        <is>
          <t>M06: MS         04- Dental Materials &amp; Supplies- (DMS)          01- Burs &amp; Stones Tools                               470.00</t>
        </is>
      </c>
    </row>
    <row r="183">
      <c r="A183" t="inlineStr">
        <is>
          <t>M06: MS         04- Dental Materials &amp; Supplies- (DMS)          03- Scaling / Gingiva Materials &amp; Supplies            944.20</t>
        </is>
      </c>
    </row>
    <row r="184">
      <c r="A184" t="inlineStr">
        <is>
          <t>M06: MS         04- Dental Materials &amp; Supplies- (DMS)          04- Restorative Fillings, Adhesives &amp; Supplies      7,007.00</t>
        </is>
      </c>
    </row>
    <row r="185">
      <c r="A185" t="inlineStr">
        <is>
          <t>M06: MS         04- Dental Materials &amp; Supplies- (DMS)          05- Endodontic Materials &amp; Posts Supplies           3,743.25</t>
        </is>
      </c>
    </row>
    <row r="186">
      <c r="A186" t="inlineStr">
        <is>
          <t>M06: MS         04- Dental Materials &amp; Supplies- (DMS)          06- Surgical Materials &amp; Supplies                   1,267.00</t>
        </is>
      </c>
    </row>
    <row r="187">
      <c r="A187" t="inlineStr">
        <is>
          <t>M06: MS         04- Dental Materials &amp; Supplies- (DMS)          07- Impression Materials &amp; Supplies                   597.38</t>
        </is>
      </c>
    </row>
    <row r="188">
      <c r="A188" t="inlineStr">
        <is>
          <t>M06: MS         04- Dental Materials &amp; Supplies- (DMS)          08- Bleaching Material &amp; Supplies                   2,000.00</t>
        </is>
      </c>
    </row>
    <row r="189">
      <c r="A189" t="inlineStr">
        <is>
          <t>M06: MS         04- Dental Materials &amp; Supplies- (DMS)          10- Patient Education Printouts &amp; Giveaways            37.25</t>
        </is>
      </c>
    </row>
    <row r="190">
      <c r="A190" t="inlineStr">
        <is>
          <t>M06: OHF        08- Facility Management &amp; (FMS)                 07- Pantry Supplies                                 1,062.00</t>
        </is>
      </c>
    </row>
    <row r="191">
      <c r="A191" t="inlineStr">
        <is>
          <t>M06: OHF        08- Facility Management &amp; (FMS)                 08- Stationaries &amp; Printing Supplies                  235.00</t>
        </is>
      </c>
    </row>
    <row r="192">
      <c r="A192" t="inlineStr">
        <is>
          <t>M06: Pharmacy   02- Drugs, Needles &amp; Triage- (DRG)              01- Local Anaesthetics                                594.00</t>
        </is>
      </c>
    </row>
    <row r="193">
      <c r="A193" t="inlineStr">
        <is>
          <t>M06: Pharmacy   04- Dental Materials &amp; Supplies- (DMS)          02- Nitrous &amp; Oxygen Sedation                         420.00</t>
        </is>
      </c>
    </row>
    <row r="194">
      <c r="A194" t="inlineStr">
        <is>
          <t>M06: Prostheses 05- Implants- (IMPL)                            01- Implant Fixtures                               30,303.03</t>
        </is>
      </c>
    </row>
    <row r="195">
      <c r="A195" t="inlineStr">
        <is>
          <t>M06: Prostheses 05- Implants- (IMPL)                            03- Abutments                                       1,750.00</t>
        </is>
      </c>
    </row>
    <row r="196">
      <c r="A196" t="inlineStr">
        <is>
          <t>M06: Prostheses 05- Implants- (IMPL)                            05- Bone Grafting Materials, Synthetic              8,512.50</t>
        </is>
      </c>
    </row>
    <row r="197">
      <c r="A197" t="inlineStr">
        <is>
          <t>M06: Prostheses 06- Laboratory- (LAB)                           02- Dental Blocks                                   2,890.00</t>
        </is>
      </c>
    </row>
    <row r="198">
      <c r="A198" t="inlineStr">
        <is>
          <t>M06: Prostheses 06- Laboratory- (LAB)                           03- Dental Blanks                                   3,465.00</t>
        </is>
      </c>
    </row>
    <row r="199">
      <c r="A199" t="inlineStr">
        <is>
          <t>M06: Prostheses 06- Laboratory- (LAB)                           04- 3D Inks &amp; Supplies                              3,585.00</t>
        </is>
      </c>
    </row>
    <row r="200">
      <c r="A200" t="inlineStr">
        <is>
          <t>M06: Prostheses 06- Laboratory- (LAB)                           05- Vacuum Machine Plates &amp; Supplies                  176.50</t>
        </is>
      </c>
    </row>
    <row r="201">
      <c r="A201" t="inlineStr">
        <is>
          <t>M06: Prostheses 06- Laboratory- (LAB)                           06- Dental Stone, Stains &amp; Wax                        640.00</t>
        </is>
      </c>
    </row>
    <row r="202">
      <c r="A202" t="inlineStr">
        <is>
          <t>M06: Prostheses 06- Laboratory- (LAB)                           07- Lab Drilling / Milling  Tools &amp; Accessorie      1,460.00</t>
        </is>
      </c>
    </row>
    <row r="203">
      <c r="A203" t="inlineStr">
        <is>
          <t>M06: Prostheses 06- Laboratory- (LAB)                           08- Sand Blasting Materials &amp; Supplies                225.00</t>
        </is>
      </c>
    </row>
    <row r="204">
      <c r="A204" t="inlineStr">
        <is>
          <t>M07: MS         01- Medical &amp; LAB Devices. Instruments- (DEV)   04- Hand Pieces, Scaler Devices &amp; Accessories       1,356.00</t>
        </is>
      </c>
    </row>
    <row r="205">
      <c r="A205" t="inlineStr">
        <is>
          <t>M07: MS         02- Drugs, Needles &amp; Triage- (DRG)              03- Vital Signs/ Emergency Supplies                    55.00</t>
        </is>
      </c>
    </row>
    <row r="206">
      <c r="A206" t="inlineStr">
        <is>
          <t>M07: MS         02- Drugs, Needles &amp; Triage- (DRG)              04- Needles &amp; Syringes                              2,797.02</t>
        </is>
      </c>
    </row>
    <row r="207">
      <c r="A207" t="inlineStr">
        <is>
          <t>M07: MS         03- Prevention &amp; Control of Infection- (PCI)    01- Personal Protective Equipment                   2,488.50</t>
        </is>
      </c>
    </row>
    <row r="208">
      <c r="A208" t="inlineStr">
        <is>
          <t>M07: MS         03- Prevention &amp; Control of Infection- (PCI)    02- Disinfectants &amp; Lubricants                      2,315.00</t>
        </is>
      </c>
    </row>
    <row r="209">
      <c r="A209" t="inlineStr">
        <is>
          <t>M07: MS         03- Prevention &amp; Control of Infection- (PCI)    03- General &amp; Waste Management                        642.21</t>
        </is>
      </c>
    </row>
    <row r="210">
      <c r="A210" t="inlineStr">
        <is>
          <t>M07: MS         03- Prevention &amp; Control of Infection- (PCI)    04- Wrapping &amp; Protective Materials                   394.00</t>
        </is>
      </c>
    </row>
    <row r="211">
      <c r="A211" t="inlineStr">
        <is>
          <t>M07: MS         03- Prevention &amp; Control of Infection- (PCI)    05- Sterilization Monitoring                          547.40</t>
        </is>
      </c>
    </row>
    <row r="212">
      <c r="A212" t="inlineStr">
        <is>
          <t>M07: MS         04- Dental Materials &amp; Supplies- (DMS)          01- Burs &amp; Stones Tools                               700.00</t>
        </is>
      </c>
    </row>
    <row r="213">
      <c r="A213" t="inlineStr">
        <is>
          <t>M07: MS         04- Dental Materials &amp; Supplies- (DMS)          03- Scaling / Gingiva Materials &amp; Supplies          1,092.85</t>
        </is>
      </c>
    </row>
    <row r="214">
      <c r="A214" t="inlineStr">
        <is>
          <t>M07: MS         04- Dental Materials &amp; Supplies- (DMS)          04- Restorative Fillings, Adhesives &amp; Supplies      5,406.25</t>
        </is>
      </c>
    </row>
    <row r="215">
      <c r="A215" t="inlineStr">
        <is>
          <t>M07: MS         04- Dental Materials &amp; Supplies- (DMS)          05- Endodontic Materials &amp; Posts Supplies           4,991.92</t>
        </is>
      </c>
    </row>
    <row r="216">
      <c r="A216" t="inlineStr">
        <is>
          <t>M07: MS         04- Dental Materials &amp; Supplies- (DMS)          06- Surgical Materials &amp; Supplies                     665.80</t>
        </is>
      </c>
    </row>
    <row r="217">
      <c r="A217" t="inlineStr">
        <is>
          <t>M07: MS         04- Dental Materials &amp; Supplies- (DMS)          07- Impression Materials &amp; Supplies                   300.38</t>
        </is>
      </c>
    </row>
    <row r="218">
      <c r="A218" t="inlineStr">
        <is>
          <t>M07: MS         04- Dental Materials &amp; Supplies- (DMS)          08- Bleaching Material &amp; Supplies                   1,600.00</t>
        </is>
      </c>
    </row>
    <row r="219">
      <c r="A219" t="inlineStr">
        <is>
          <t>M07: MS         04- Dental Materials &amp; Supplies- (DMS)          09- Orthodontic Materials &amp; Supplies                  557.00</t>
        </is>
      </c>
    </row>
    <row r="220">
      <c r="A220" t="inlineStr">
        <is>
          <t>M07: MS         04- Dental Materials &amp; Supplies- (DMS)          10- Patient Education Printouts &amp; Giveaways           140.25</t>
        </is>
      </c>
    </row>
    <row r="221">
      <c r="A221" t="inlineStr">
        <is>
          <t>M07: OHF        08- Facility Management &amp; (FMS)                 07- Pantry Supplies                                   350.00</t>
        </is>
      </c>
    </row>
    <row r="222">
      <c r="A222" t="inlineStr">
        <is>
          <t>M07: OHF        08- Facility Management &amp; (FMS)                 08- Stationaries &amp; Printing Supplies                  352.50</t>
        </is>
      </c>
    </row>
    <row r="223">
      <c r="A223" t="inlineStr">
        <is>
          <t>M07: Pharmacy   02- Drugs, Needles &amp; Triage- (DRG)              01- Local Anaesthetics                                576.00</t>
        </is>
      </c>
    </row>
    <row r="224">
      <c r="A224" t="inlineStr">
        <is>
          <t>M07: Pharmacy   04- Dental Materials &amp; Supplies- (DMS)          02- Nitrous &amp; Oxygen Sedation                         930.00</t>
        </is>
      </c>
    </row>
    <row r="225">
      <c r="A225" t="inlineStr">
        <is>
          <t>M07: Prostheses 05- Implants- (IMPL)                            01- Implant Fixtures                               14,810.61</t>
        </is>
      </c>
    </row>
    <row r="226">
      <c r="A226" t="inlineStr">
        <is>
          <t>M07: Prostheses 05- Implants- (IMPL)                            02- Healing &amp; Cover Screw                               0.00</t>
        </is>
      </c>
    </row>
    <row r="227">
      <c r="A227" t="inlineStr">
        <is>
          <t>M07: Prostheses 05- Implants- (IMPL)                            03- Abutments                                       4,500.00</t>
        </is>
      </c>
    </row>
    <row r="228">
      <c r="A228" t="inlineStr">
        <is>
          <t>M07: Prostheses 05- Implants- (IMPL)                            04- Implant Impression Tools &amp; Supplies             1,850.00</t>
        </is>
      </c>
    </row>
    <row r="229">
      <c r="A229" t="inlineStr">
        <is>
          <t>M07: Prostheses 05- Implants- (IMPL)                            05- Bone Grafting Materials, Synthetic              5,800.00</t>
        </is>
      </c>
    </row>
    <row r="230">
      <c r="A230" t="inlineStr">
        <is>
          <t>M07: Prostheses 06- Laboratory- (LAB)                           01- Lab Devices, Instruments, &amp; Accessories           265.00</t>
        </is>
      </c>
    </row>
    <row r="231">
      <c r="A231" t="inlineStr">
        <is>
          <t>M07: Prostheses 06- Laboratory- (LAB)                           02- Dental Blocks                                   4,212.50</t>
        </is>
      </c>
    </row>
    <row r="232">
      <c r="A232" t="inlineStr">
        <is>
          <t>M07: Prostheses 06- Laboratory- (LAB)                           03- Dental Blanks                                     905.00</t>
        </is>
      </c>
    </row>
    <row r="233">
      <c r="A233" t="inlineStr">
        <is>
          <t>M07: Prostheses 06- Laboratory- (LAB)                           04- 3D Inks &amp; Supplies                              2,265.00</t>
        </is>
      </c>
    </row>
    <row r="234">
      <c r="A234" t="inlineStr">
        <is>
          <t>M07: Prostheses 06- Laboratory- (LAB)                           05- Vacuum Machine Plates &amp; Supplies                   47.50</t>
        </is>
      </c>
    </row>
    <row r="235">
      <c r="A235" t="inlineStr">
        <is>
          <t>M07: Prostheses 06- Laboratory- (LAB)                           06- Dental Stone, Stains &amp; Wax                        216.25</t>
        </is>
      </c>
    </row>
    <row r="236">
      <c r="A236" t="inlineStr">
        <is>
          <t>M07: Prostheses 06- Laboratory- (LAB)                           07- Lab Drilling / Milling  Tools &amp; Accessorie      1,572.74</t>
        </is>
      </c>
    </row>
    <row r="237">
      <c r="A237" t="inlineStr">
        <is>
          <t>M07: Prostheses  External LAB invoices (Consumption sheet, cash in hand, not stock)                            4,810.00</t>
        </is>
      </c>
    </row>
    <row r="238">
      <c r="A238" t="inlineStr">
        <is>
          <t>M08: MS         01- Medical &amp; LAB Devices. Instruments- (DEV)   06- Hand Instruments (Restorative, Perio, Endo        191.57</t>
        </is>
      </c>
    </row>
    <row r="239">
      <c r="A239" t="inlineStr">
        <is>
          <t>M08: MS         02- Drugs, Needles &amp; Triage- (DRG)              03- Vital Signs/ Emergency Supplies                   131.50</t>
        </is>
      </c>
    </row>
    <row r="240">
      <c r="A240" t="inlineStr">
        <is>
          <t>M08: MS         02- Drugs, Needles &amp; Triage- (DRG)              04- Needles &amp; Syringes                              2,504.70</t>
        </is>
      </c>
    </row>
    <row r="241">
      <c r="A241" t="inlineStr">
        <is>
          <t>M08: MS         03- Prevention &amp; Control of Infection- (PCI)    01- Personal Protective Equipment                   2,269.42</t>
        </is>
      </c>
    </row>
    <row r="242">
      <c r="A242" t="inlineStr">
        <is>
          <t>M08: MS         03- Prevention &amp; Control of Infection- (PCI)    02- Disinfectants &amp; Lubricants                      1,539.50</t>
        </is>
      </c>
    </row>
    <row r="243">
      <c r="A243" t="inlineStr">
        <is>
          <t>M08: MS         03- Prevention &amp; Control of Infection- (PCI)    03- General &amp; Waste Management                        949.31</t>
        </is>
      </c>
    </row>
    <row r="244">
      <c r="A244" t="inlineStr">
        <is>
          <t>M08: MS         03- Prevention &amp; Control of Infection- (PCI)    04- Wrapping &amp; Protective Materials                   344.00</t>
        </is>
      </c>
    </row>
    <row r="245">
      <c r="A245" t="inlineStr">
        <is>
          <t>M08: MS         03- Prevention &amp; Control of Infection- (PCI)    05- Sterilization Monitoring                          386.80</t>
        </is>
      </c>
    </row>
    <row r="246">
      <c r="A246" t="inlineStr">
        <is>
          <t>M08: MS         04- Dental Materials &amp; Supplies- (DMS)          01- Burs &amp; Stones Tools                             1,285.00</t>
        </is>
      </c>
    </row>
    <row r="247">
      <c r="A247" t="inlineStr">
        <is>
          <t>M08: MS         04- Dental Materials &amp; Supplies- (DMS)          03- Scaling / Gingiva Materials &amp; Supplies            643.00</t>
        </is>
      </c>
    </row>
    <row r="248">
      <c r="A248" t="inlineStr">
        <is>
          <t>M08: MS         04- Dental Materials &amp; Supplies- (DMS)          04- Restorative Fillings, Adhesives &amp; Supplies     11,469.40</t>
        </is>
      </c>
    </row>
    <row r="249">
      <c r="A249" t="inlineStr">
        <is>
          <t>M08: MS         04- Dental Materials &amp; Supplies- (DMS)          05- Endodontic Materials &amp; Posts Supplies           4,211.58</t>
        </is>
      </c>
    </row>
    <row r="250">
      <c r="A250" t="inlineStr">
        <is>
          <t>M08: MS         04- Dental Materials &amp; Supplies- (DMS)          06- Surgical Materials &amp; Supplies                     506.60</t>
        </is>
      </c>
    </row>
    <row r="251">
      <c r="A251" t="inlineStr">
        <is>
          <t>M08: MS         04- Dental Materials &amp; Supplies- (DMS)          07- Impression Materials &amp; Supplies                 2,087.50</t>
        </is>
      </c>
    </row>
    <row r="252">
      <c r="A252" t="inlineStr">
        <is>
          <t>M08: MS         04- Dental Materials &amp; Supplies- (DMS)          08- Bleaching Material &amp; Supplies                     400.00</t>
        </is>
      </c>
    </row>
    <row r="253">
      <c r="A253" t="inlineStr">
        <is>
          <t>M08: MS         04- Dental Materials &amp; Supplies- (DMS)          09- Orthodontic Materials &amp; Supplies                  710.00</t>
        </is>
      </c>
    </row>
    <row r="254">
      <c r="A254" t="inlineStr">
        <is>
          <t>M08: MS         04- Dental Materials &amp; Supplies- (DMS)          10- Patient Education Printouts &amp; Giveaways           223.00</t>
        </is>
      </c>
    </row>
    <row r="255">
      <c r="A255" t="inlineStr">
        <is>
          <t>M08: OHF        08- Facility Management &amp; (FMS)                 07- Pantry Supplies                                 1,157.37</t>
        </is>
      </c>
    </row>
    <row r="256">
      <c r="A256" t="inlineStr">
        <is>
          <t>M08: OHF        08- Facility Management &amp; (FMS)                 08- Stationaries &amp; Printing Supplies                  432.50</t>
        </is>
      </c>
    </row>
    <row r="257">
      <c r="A257" t="inlineStr">
        <is>
          <t>M08: Pharmacy   02- Drugs, Needles &amp; Triage- (DRG)              01- Local Anaesthetics                                939.00</t>
        </is>
      </c>
    </row>
    <row r="258">
      <c r="A258" t="inlineStr">
        <is>
          <t>M08: Pharmacy   04- Dental Materials &amp; Supplies- (DMS)          02- Nitrous &amp; Oxygen Sedation                         420.00</t>
        </is>
      </c>
    </row>
    <row r="259">
      <c r="A259" t="inlineStr">
        <is>
          <t>M08: Prostheses 05- Implants- (IMPL)                            01- Implant Fixtures                               24,674.24</t>
        </is>
      </c>
    </row>
    <row r="260">
      <c r="A260" t="inlineStr">
        <is>
          <t>M08: Prostheses 05- Implants- (IMPL)                            02- Healing &amp; Cover Screw                             274.00</t>
        </is>
      </c>
    </row>
    <row r="261">
      <c r="A261" t="inlineStr">
        <is>
          <t>M08: Prostheses 05- Implants- (IMPL)                            03- Abutments                                       4,900.00</t>
        </is>
      </c>
    </row>
    <row r="262">
      <c r="A262" t="inlineStr">
        <is>
          <t>M08: Prostheses 05- Implants- (IMPL)                            05- Bone Grafting Materials, Synthetic              4,150.00</t>
        </is>
      </c>
    </row>
    <row r="263">
      <c r="A263" t="inlineStr">
        <is>
          <t>M08: Prostheses 06- Laboratory- (LAB)                           01- Lab Devices, Instruments, &amp; Accessories         4,761.90</t>
        </is>
      </c>
    </row>
    <row r="264">
      <c r="A264" t="inlineStr">
        <is>
          <t>M08: Prostheses 06- Laboratory- (LAB)                           02- Dental Blocks                                   5,272.50</t>
        </is>
      </c>
    </row>
    <row r="265">
      <c r="A265" t="inlineStr">
        <is>
          <t>M08: Prostheses 06- Laboratory- (LAB)                           03- Dental Blanks                                   3,015.00</t>
        </is>
      </c>
    </row>
    <row r="266">
      <c r="A266" t="inlineStr">
        <is>
          <t>M08: Prostheses 06- Laboratory- (LAB)                           04- 3D Inks &amp; Supplies                              3,090.00</t>
        </is>
      </c>
    </row>
    <row r="267">
      <c r="A267" t="inlineStr">
        <is>
          <t>M08: Prostheses 06- Laboratory- (LAB)                           05- Vacuum Machine Plates &amp; Supplies                  166.08</t>
        </is>
      </c>
    </row>
    <row r="268">
      <c r="A268" t="inlineStr">
        <is>
          <t>M08: Prostheses 06- Laboratory- (LAB)                           06- Dental Stone, Stains &amp; Wax                        766.25</t>
        </is>
      </c>
    </row>
    <row r="269">
      <c r="A269" t="inlineStr">
        <is>
          <t>M08: Prostheses 06- Laboratory- (LAB)                           07- Lab Drilling / Milling  Tools &amp; Accessorie      2,034.00</t>
        </is>
      </c>
    </row>
    <row r="270">
      <c r="A270" t="inlineStr">
        <is>
          <t>M08: Prostheses 06- Laboratory- (LAB)                           09- External Lab &amp; Invisaligns                      5,250.00</t>
        </is>
      </c>
    </row>
    <row r="271">
      <c r="A271" t="inlineStr">
        <is>
          <t>M08: Prostheses  External LAB invoices (Consumption sheet, cash in hand, not stock)                            5,254.00</t>
        </is>
      </c>
    </row>
    <row r="272">
      <c r="A272" t="inlineStr">
        <is>
          <t>M09: MS         01- Medical &amp; LAB Devices. Instruments- (DEV)   01- Dental Chairs &amp; Accessories                        50.00</t>
        </is>
      </c>
    </row>
    <row r="273">
      <c r="A273" t="inlineStr">
        <is>
          <t>M09: MS         01- Medical &amp; LAB Devices. Instruments- (DEV)   04- Hand Pieces, Scaler Devices &amp; Accessories       1,477.51</t>
        </is>
      </c>
    </row>
    <row r="274">
      <c r="A274" t="inlineStr">
        <is>
          <t>M09: MS         01- Medical &amp; LAB Devices. Instruments- (DEV)   06- Hand Instruments (Restorative, Perio, Endo        250.00</t>
        </is>
      </c>
    </row>
    <row r="275">
      <c r="A275" t="inlineStr">
        <is>
          <t>M09: MS         01- Medical &amp; LAB Devices. Instruments- (DEV)   08- Cssd, Triage, PCI Devices                           0.00</t>
        </is>
      </c>
    </row>
    <row r="276">
      <c r="A276" t="inlineStr">
        <is>
          <t>M09: MS         02- Drugs, Needles &amp; Triage- (DRG)              03- Vital Signs/ Emergency Supplies                   155.00</t>
        </is>
      </c>
    </row>
    <row r="277">
      <c r="A277" t="inlineStr">
        <is>
          <t>M09: MS         02- Drugs, Needles &amp; Triage- (DRG)              04- Needles &amp; Syringes                              1,600.80</t>
        </is>
      </c>
    </row>
    <row r="278">
      <c r="A278" t="inlineStr">
        <is>
          <t>M09: MS         03- Prevention &amp; Control of Infection- (PCI)    01- Personal Protective Equipment                   2,420.75</t>
        </is>
      </c>
    </row>
    <row r="279">
      <c r="A279" t="inlineStr">
        <is>
          <t>M09: MS         03- Prevention &amp; Control of Infection- (PCI)    02- Disinfectants &amp; Lubricants                      1,972.50</t>
        </is>
      </c>
    </row>
    <row r="280">
      <c r="A280" t="inlineStr">
        <is>
          <t>M09: MS         03- Prevention &amp; Control of Infection- (PCI)    03- General &amp; Waste Management                        402.38</t>
        </is>
      </c>
    </row>
    <row r="281">
      <c r="A281" t="inlineStr">
        <is>
          <t>M09: MS         03- Prevention &amp; Control of Infection- (PCI)    04- Wrapping &amp; Protective Materials                   300.00</t>
        </is>
      </c>
    </row>
    <row r="282">
      <c r="A282" t="inlineStr">
        <is>
          <t>M09: MS         03- Prevention &amp; Control of Infection- (PCI)    05- Sterilization Monitoring                          769.40</t>
        </is>
      </c>
    </row>
    <row r="283">
      <c r="A283" t="inlineStr">
        <is>
          <t>M09: MS         04- Dental Materials &amp; Supplies- (DMS)          01- Burs &amp; Stones Tools                               365.00</t>
        </is>
      </c>
    </row>
    <row r="284">
      <c r="A284" t="inlineStr">
        <is>
          <t>M09: MS         04- Dental Materials &amp; Supplies- (DMS)          03- Scaling / Gingiva Materials &amp; Supplies            922.20</t>
        </is>
      </c>
    </row>
    <row r="285">
      <c r="A285" t="inlineStr">
        <is>
          <t>M09: MS         04- Dental Materials &amp; Supplies- (DMS)          04- Restorative Fillings, Adhesives &amp; Supplies      6,868.50</t>
        </is>
      </c>
    </row>
    <row r="286">
      <c r="A286" t="inlineStr">
        <is>
          <t>M09: MS         04- Dental Materials &amp; Supplies- (DMS)          05- Endodontic Materials &amp; Posts Supplies           3,816.92</t>
        </is>
      </c>
    </row>
    <row r="287">
      <c r="A287" t="inlineStr">
        <is>
          <t>M09: MS         04- Dental Materials &amp; Supplies- (DMS)          06- Surgical Materials &amp; Supplies                     955.83</t>
        </is>
      </c>
    </row>
    <row r="288">
      <c r="A288" t="inlineStr">
        <is>
          <t>M09: MS         04- Dental Materials &amp; Supplies- (DMS)          07- Impression Materials &amp; Supplies                   449.00</t>
        </is>
      </c>
    </row>
    <row r="289">
      <c r="A289" t="inlineStr">
        <is>
          <t>M09: MS         04- Dental Materials &amp; Supplies- (DMS)          08- Bleaching Material &amp; Supplies                     800.00</t>
        </is>
      </c>
    </row>
    <row r="290">
      <c r="A290" t="inlineStr">
        <is>
          <t>M09: MS         04- Dental Materials &amp; Supplies- (DMS)          09- Orthodontic Materials &amp; Supplies                1,551.80</t>
        </is>
      </c>
    </row>
    <row r="291">
      <c r="A291" t="inlineStr">
        <is>
          <t>M09: MS         04- Dental Materials &amp; Supplies- (DMS)          10- Patient Education Printouts &amp; Giveaways           111.75</t>
        </is>
      </c>
    </row>
    <row r="292">
      <c r="A292" t="inlineStr">
        <is>
          <t>M09: OHF        08- Facility Management &amp; (FMS)                 07- Pantry Supplies                                    28.00</t>
        </is>
      </c>
    </row>
    <row r="293">
      <c r="A293" t="inlineStr">
        <is>
          <t>M09: OHF        08- Facility Management &amp; (FMS)                 08- Stationaries &amp; Printing Supplies                   23.00</t>
        </is>
      </c>
    </row>
    <row r="294">
      <c r="A294" t="inlineStr">
        <is>
          <t>M09: Pharmacy   01- Medical &amp; LAB Devices. Instruments- (DEV)   07- Nitrous &amp; Oxygen Sedation                         135.00</t>
        </is>
      </c>
    </row>
    <row r="295">
      <c r="A295" t="inlineStr">
        <is>
          <t>M09: Pharmacy   02- Drugs, Needles &amp; Triage- (DRG)              01- Local Anaesthetics                                820.00</t>
        </is>
      </c>
    </row>
    <row r="296">
      <c r="A296" t="inlineStr">
        <is>
          <t>M09: Pharmacy   02- Drugs, Needles &amp; Triage- (DRG)              02- Medicines &amp; Medicaments                            58.50</t>
        </is>
      </c>
    </row>
    <row r="297">
      <c r="A297" t="inlineStr">
        <is>
          <t>M09: Pharmacy   04- Dental Materials &amp; Supplies- (DMS)          02- Nitrous &amp; Oxygen Sedation                       1,230.00</t>
        </is>
      </c>
    </row>
    <row r="298">
      <c r="A298" t="inlineStr">
        <is>
          <t>M09: Prostheses 05- Implants- (IMPL)                            01- Implant Fixtures                               29,015.15</t>
        </is>
      </c>
    </row>
    <row r="299">
      <c r="A299" t="inlineStr">
        <is>
          <t>M09: Prostheses 05- Implants- (IMPL)                            02- Healing &amp; Cover Screw                             411.00</t>
        </is>
      </c>
    </row>
    <row r="300">
      <c r="A300" t="inlineStr">
        <is>
          <t>M09: Prostheses 05- Implants- (IMPL)                            03- Abutments                                       2,500.00</t>
        </is>
      </c>
    </row>
    <row r="301">
      <c r="A301" t="inlineStr">
        <is>
          <t>M09: Prostheses 05- Implants- (IMPL)                            04- Implant Impression Tools &amp; Supplies                 0.00</t>
        </is>
      </c>
    </row>
    <row r="302">
      <c r="A302" t="inlineStr">
        <is>
          <t>M09: Prostheses 05- Implants- (IMPL)                            05- Bone Grafting Materials, Synthetic              9,400.00</t>
        </is>
      </c>
    </row>
    <row r="303">
      <c r="A303" t="inlineStr">
        <is>
          <t>M09: Prostheses 06- Laboratory- (LAB)                           01- Lab Devices, Instruments, &amp; Accessories           550.00</t>
        </is>
      </c>
    </row>
    <row r="304">
      <c r="A304" t="inlineStr">
        <is>
          <t>M09: Prostheses 06- Laboratory- (LAB)                           02- Dental Blocks                                   2,888.25</t>
        </is>
      </c>
    </row>
    <row r="305">
      <c r="A305" t="inlineStr">
        <is>
          <t>M09: Prostheses 06- Laboratory- (LAB)                           03- Dental Blanks                                   3,095.00</t>
        </is>
      </c>
    </row>
    <row r="306">
      <c r="A306" t="inlineStr">
        <is>
          <t>M09: Prostheses 06- Laboratory- (LAB)                           04- 3D Inks &amp; Supplies                              1,650.00</t>
        </is>
      </c>
    </row>
    <row r="307">
      <c r="A307" t="inlineStr">
        <is>
          <t>M09: Prostheses 06- Laboratory- (LAB)                           05- Vacuum Machine Plates &amp; Supplies                   72.17</t>
        </is>
      </c>
    </row>
    <row r="308">
      <c r="A308" t="inlineStr">
        <is>
          <t>M09: Prostheses 06- Laboratory- (LAB)                           06- Dental Stone, Stains &amp; Wax                      3,568.75</t>
        </is>
      </c>
    </row>
    <row r="309">
      <c r="A309" t="inlineStr">
        <is>
          <t>M09: Prostheses 06- Laboratory- (LAB)                           07- Lab Drilling / Milling  Tools &amp; Accessorie      2,152.00</t>
        </is>
      </c>
    </row>
    <row r="310">
      <c r="A310" t="inlineStr">
        <is>
          <t>M09: Prostheses  External LAB invoices (Consumption sheet, cash in hand, not stock)                            1,150.00</t>
        </is>
      </c>
    </row>
    <row r="311">
      <c r="A311" t="inlineStr">
        <is>
          <t>M10: MS         01- Medical &amp; LAB Devices. Instruments- (DEV)   04- Hand Pieces, Scaler Devices &amp; Accessories         100.51</t>
        </is>
      </c>
    </row>
    <row r="312">
      <c r="A312" t="inlineStr">
        <is>
          <t>M10: MS         01- Medical &amp; LAB Devices. Instruments- (DEV)   06- Hand Instruments (Restorative, Perio, Endo         31.67</t>
        </is>
      </c>
    </row>
    <row r="313">
      <c r="A313" t="inlineStr">
        <is>
          <t>M10: MS         02- Drugs, Needles &amp; Triage- (DRG)              03- Vital Signs/ Emergency Supplies                  -279.25</t>
        </is>
      </c>
    </row>
    <row r="314">
      <c r="A314" t="inlineStr">
        <is>
          <t>M10: MS         02- Drugs, Needles &amp; Triage- (DRG)              04- Needles &amp; Syringes                              2,398.38</t>
        </is>
      </c>
    </row>
    <row r="315">
      <c r="A315" t="inlineStr">
        <is>
          <t>M10: MS         03- Prevention &amp; Control of Infection- (PCI)    01- Personal Protective Equipment                   2,721.17</t>
        </is>
      </c>
    </row>
    <row r="316">
      <c r="A316" t="inlineStr">
        <is>
          <t>M10: MS         03- Prevention &amp; Control of Infection- (PCI)    02- Disinfectants &amp; Lubricants                      1,464.00</t>
        </is>
      </c>
    </row>
    <row r="317">
      <c r="A317" t="inlineStr">
        <is>
          <t>M10: MS         03- Prevention &amp; Control of Infection- (PCI)    03- General &amp; Waste Management                        546.10</t>
        </is>
      </c>
    </row>
    <row r="318">
      <c r="A318" t="inlineStr">
        <is>
          <t>M10: MS         03- Prevention &amp; Control of Infection- (PCI)    04- Wrapping &amp; Protective Materials                   286.00</t>
        </is>
      </c>
    </row>
    <row r="319">
      <c r="A319" t="inlineStr">
        <is>
          <t>M10: MS         03- Prevention &amp; Control of Infection- (PCI)    05- Sterilization Monitoring                          954.16</t>
        </is>
      </c>
    </row>
    <row r="320">
      <c r="A320" t="inlineStr">
        <is>
          <t>M10: MS         04- Dental Materials &amp; Supplies- (DMS)          01- Burs &amp; Stones Tools                               900.00</t>
        </is>
      </c>
    </row>
    <row r="321">
      <c r="A321" t="inlineStr">
        <is>
          <t>M10: MS         04- Dental Materials &amp; Supplies- (DMS)          03- Scaling / Gingiva Materials &amp; Supplies          1,006.17</t>
        </is>
      </c>
    </row>
    <row r="322">
      <c r="A322" t="inlineStr">
        <is>
          <t>M10: MS         04- Dental Materials &amp; Supplies- (DMS)          04- Restorative Fillings, Adhesives &amp; Supplies      5,248.23</t>
        </is>
      </c>
    </row>
    <row r="323">
      <c r="A323" t="inlineStr">
        <is>
          <t>M10: MS         04- Dental Materials &amp; Supplies- (DMS)          05- Endodontic Materials &amp; Posts Supplies           4,290.67</t>
        </is>
      </c>
    </row>
    <row r="324">
      <c r="A324" t="inlineStr">
        <is>
          <t>M10: MS         04- Dental Materials &amp; Supplies- (DMS)          06- Surgical Materials &amp; Supplies                     855.10</t>
        </is>
      </c>
    </row>
    <row r="325">
      <c r="A325" t="inlineStr">
        <is>
          <t>M10: MS         04- Dental Materials &amp; Supplies- (DMS)          07- Impression Materials &amp; Supplies                 1,220.00</t>
        </is>
      </c>
    </row>
    <row r="326">
      <c r="A326" t="inlineStr">
        <is>
          <t>M10: MS         04- Dental Materials &amp; Supplies- (DMS)          08- Bleaching Material &amp; Supplies                     400.00</t>
        </is>
      </c>
    </row>
    <row r="327">
      <c r="A327" t="inlineStr">
        <is>
          <t>M10: MS         04- Dental Materials &amp; Supplies- (DMS)          09- Orthodontic Materials &amp; Supplies                2,096.00</t>
        </is>
      </c>
    </row>
    <row r="328">
      <c r="A328" t="inlineStr">
        <is>
          <t>M10: MS         04- Dental Materials &amp; Supplies- (DMS)          10- Patient Education Printouts &amp; Giveaways           188.50</t>
        </is>
      </c>
    </row>
    <row r="329">
      <c r="A329" t="inlineStr">
        <is>
          <t>M10: MS         05- Implants- (IMPL)                            06- Screwdrivers &amp; Drilling Kits                      580.00</t>
        </is>
      </c>
    </row>
    <row r="330">
      <c r="A330" t="inlineStr">
        <is>
          <t>M10: OHF        08- Facility Management &amp; (FMS)                 07- Pantry Supplies                                   610.00</t>
        </is>
      </c>
    </row>
    <row r="331">
      <c r="A331" t="inlineStr">
        <is>
          <t>M10: OHF        08- Facility Management &amp; (FMS)                 08- Stationaries &amp; Printing Supplies                   95.00</t>
        </is>
      </c>
    </row>
    <row r="332">
      <c r="A332" t="inlineStr">
        <is>
          <t>M10: Pharmacy   02- Drugs, Needles &amp; Triage- (DRG)              01- Local Anaesthetics                                328.77</t>
        </is>
      </c>
    </row>
    <row r="333">
      <c r="A333" t="inlineStr">
        <is>
          <t>M10: Pharmacy   02- Drugs, Needles &amp; Triage- (DRG)              02- Medicines &amp; Medicaments                           357.95</t>
        </is>
      </c>
    </row>
    <row r="334">
      <c r="A334" t="inlineStr">
        <is>
          <t>M10: Pharmacy   04- Dental Materials &amp; Supplies- (DMS)          02- Nitrous &amp; Oxygen Sedation                         458.82</t>
        </is>
      </c>
    </row>
    <row r="335">
      <c r="A335" t="inlineStr">
        <is>
          <t>M10: Prostheses 05- Implants- (IMPL)                            01- Implant Fixtures                               18,497.17</t>
        </is>
      </c>
    </row>
    <row r="336">
      <c r="A336" t="inlineStr">
        <is>
          <t>M10: Prostheses 05- Implants- (IMPL)                            03- Abutments                                       3,450.00</t>
        </is>
      </c>
    </row>
    <row r="337">
      <c r="A337" t="inlineStr">
        <is>
          <t>M10: Prostheses 05- Implants- (IMPL)                            04- Implant Impression Tools &amp; Supplies               305.00</t>
        </is>
      </c>
    </row>
    <row r="338">
      <c r="A338" t="inlineStr">
        <is>
          <t>M10: Prostheses 05- Implants- (IMPL)                            05- Bone Grafting Materials, Synthetic             10,880.00</t>
        </is>
      </c>
    </row>
    <row r="339">
      <c r="A339" t="inlineStr">
        <is>
          <t>M10: Prostheses 06- Laboratory- (LAB)                           02- Dental Blocks                                   6,041.65</t>
        </is>
      </c>
    </row>
    <row r="340">
      <c r="A340" t="inlineStr">
        <is>
          <t>M10: Prostheses 06- Laboratory- (LAB)                           03- Dental Blanks                                   4,382.10</t>
        </is>
      </c>
    </row>
    <row r="341">
      <c r="A341" t="inlineStr">
        <is>
          <t>M10: Prostheses 06- Laboratory- (LAB)                           04- 3D Inks &amp; Supplies                              2,533.80</t>
        </is>
      </c>
    </row>
    <row r="342">
      <c r="A342" t="inlineStr">
        <is>
          <t>M10: Prostheses 06- Laboratory- (LAB)                           05- Vacuum Machine Plates &amp; Supplies                  240.37</t>
        </is>
      </c>
    </row>
    <row r="343">
      <c r="A343" t="inlineStr">
        <is>
          <t>M10: Prostheses 06- Laboratory- (LAB)                           06- Dental Stone, Stains &amp; Wax                        777.50</t>
        </is>
      </c>
    </row>
    <row r="344">
      <c r="A344" t="inlineStr">
        <is>
          <t>M10: Prostheses 06- Laboratory- (LAB)                           07- Lab Drilling / Milling  Tools &amp; Accessorie        509.78</t>
        </is>
      </c>
    </row>
    <row r="345">
      <c r="A345" t="inlineStr">
        <is>
          <t>M10: Prostheses 06- Laboratory- (LAB)                           08- Sand Blasting Materials &amp; Supplies                  8.00</t>
        </is>
      </c>
    </row>
    <row r="346">
      <c r="A346" t="inlineStr">
        <is>
          <t>M10: Prostheses  External LAB invoices (Consumption sheet, cash in hand, not stock)                              950.00</t>
        </is>
      </c>
    </row>
    <row r="347">
      <c r="A347" t="inlineStr">
        <is>
          <t>M11: MS         01- Medical &amp; LAB Devices. Instruments- (DEV)   06- Hand Instruments (Restorative, Perio, Endo        125.00</t>
        </is>
      </c>
    </row>
    <row r="348">
      <c r="A348" t="inlineStr">
        <is>
          <t>M11: MS         02- Drugs, Needles &amp; Triage- (DRG)              03- Vital Signs/ Emergency Supplies                   126.50</t>
        </is>
      </c>
    </row>
    <row r="349">
      <c r="A349" t="inlineStr">
        <is>
          <t>M11: MS         02- Drugs, Needles &amp; Triage- (DRG)              04- Needles &amp; Syringes                              1,387.56</t>
        </is>
      </c>
    </row>
    <row r="350">
      <c r="A350" t="inlineStr">
        <is>
          <t>M11: MS         03- Prevention &amp; Control of Infection- (PCI)    01- Personal Protective Equipment                   2,086.42</t>
        </is>
      </c>
    </row>
    <row r="351">
      <c r="A351" t="inlineStr">
        <is>
          <t>M11: MS         03- Prevention &amp; Control of Infection- (PCI)    02- Disinfectants &amp; Lubricants                      2,350.00</t>
        </is>
      </c>
    </row>
    <row r="352">
      <c r="A352" t="inlineStr">
        <is>
          <t>M11: MS         03- Prevention &amp; Control of Infection- (PCI)    03- General &amp; Waste Management                        917.54</t>
        </is>
      </c>
    </row>
    <row r="353">
      <c r="A353" t="inlineStr">
        <is>
          <t>M11: MS         03- Prevention &amp; Control of Infection- (PCI)    04- Wrapping &amp; Protective Materials                   406.00</t>
        </is>
      </c>
    </row>
    <row r="354">
      <c r="A354" t="inlineStr">
        <is>
          <t>M11: MS         03- Prevention &amp; Control of Infection- (PCI)    05- Sterilization Monitoring                          547.00</t>
        </is>
      </c>
    </row>
    <row r="355">
      <c r="A355" t="inlineStr">
        <is>
          <t>M11: MS         03- Prevention &amp; Control of Infection- (PCI)    None                                                  112.95</t>
        </is>
      </c>
    </row>
    <row r="356">
      <c r="A356" t="inlineStr">
        <is>
          <t>M11: MS         04- Dental Materials &amp; Supplies- (DMS)          01- Burs &amp; Stones Tools                               356.00</t>
        </is>
      </c>
    </row>
    <row r="357">
      <c r="A357" t="inlineStr">
        <is>
          <t>M11: MS         04- Dental Materials &amp; Supplies- (DMS)          03- Scaling / Gingiva Materials &amp; Supplies            963.00</t>
        </is>
      </c>
    </row>
    <row r="358">
      <c r="A358" t="inlineStr">
        <is>
          <t>M11: MS         04- Dental Materials &amp; Supplies- (DMS)          04- Restorative Fillings, Adhesives &amp; Supplies      6,380.38</t>
        </is>
      </c>
    </row>
    <row r="359">
      <c r="A359" t="inlineStr">
        <is>
          <t>M11: MS         04- Dental Materials &amp; Supplies- (DMS)          05- Endodontic Materials &amp; Posts Supplies           5,812.33</t>
        </is>
      </c>
    </row>
    <row r="360">
      <c r="A360" t="inlineStr">
        <is>
          <t>M11: MS         04- Dental Materials &amp; Supplies- (DMS)          06- Surgical Materials &amp; Supplies                     559.50</t>
        </is>
      </c>
    </row>
    <row r="361">
      <c r="A361" t="inlineStr">
        <is>
          <t>M11: MS         04- Dental Materials &amp; Supplies- (DMS)          07- Impression Materials &amp; Supplies                 1,166.75</t>
        </is>
      </c>
    </row>
    <row r="362">
      <c r="A362" t="inlineStr">
        <is>
          <t>M11: MS         04- Dental Materials &amp; Supplies- (DMS)          08- Bleaching Material &amp; Supplies                   1,200.00</t>
        </is>
      </c>
    </row>
    <row r="363">
      <c r="A363" t="inlineStr">
        <is>
          <t>M11: MS         04- Dental Materials &amp; Supplies- (DMS)          09- Orthodontic Materials &amp; Supplies                  537.00</t>
        </is>
      </c>
    </row>
    <row r="364">
      <c r="A364" t="inlineStr">
        <is>
          <t>M11: MS         04- Dental Materials &amp; Supplies- (DMS)          10- Patient Education Printouts &amp; Giveaways            25.75</t>
        </is>
      </c>
    </row>
    <row r="365">
      <c r="A365" t="inlineStr">
        <is>
          <t>M11: MS         05- Implants- (IMPL)                            06- Screwdrivers &amp; Drilling Kits                        0.00</t>
        </is>
      </c>
    </row>
    <row r="366">
      <c r="A366" t="inlineStr">
        <is>
          <t>M11: OHF        07- Management of Information (MOI)             02- Laptop, Computer, Headphones &amp; Accessories        120.00</t>
        </is>
      </c>
    </row>
    <row r="367">
      <c r="A367" t="inlineStr">
        <is>
          <t>M11: OHF        08- Facility Management &amp; (FMS)                 07- Pantry Supplies                                 1,006.86</t>
        </is>
      </c>
    </row>
    <row r="368">
      <c r="A368" t="inlineStr">
        <is>
          <t>M11: OHF        08- Facility Management &amp; (FMS)                 08- Stationaries &amp; Printing Supplies                  441.40</t>
        </is>
      </c>
    </row>
    <row r="369">
      <c r="A369" t="inlineStr">
        <is>
          <t>M11: Pharmacy   01- Medical &amp; LAB Devices. Instruments- (DEV)   07- Nitrous &amp; Oxygen Sedation                          30.00</t>
        </is>
      </c>
    </row>
    <row r="370">
      <c r="A370" t="inlineStr">
        <is>
          <t>M11: Pharmacy   02- Drugs, Needles &amp; Triage- (DRG)              01- Local Anaesthetics                                521.00</t>
        </is>
      </c>
    </row>
    <row r="371">
      <c r="A371" t="inlineStr">
        <is>
          <t>M11: Pharmacy   02- Drugs, Needles &amp; Triage- (DRG)              02- Medicines &amp; Medicaments                           202.75</t>
        </is>
      </c>
    </row>
    <row r="372">
      <c r="A372" t="inlineStr">
        <is>
          <t>M11: Pharmacy   04- Dental Materials &amp; Supplies- (DMS)          02- Nitrous &amp; Oxygen Sedation                         450.00</t>
        </is>
      </c>
    </row>
    <row r="373">
      <c r="A373" t="inlineStr">
        <is>
          <t>M11: Prostheses 05- Implants- (IMPL)                            01- Implant Fixtures                                9,022.73</t>
        </is>
      </c>
    </row>
    <row r="374">
      <c r="A374" t="inlineStr">
        <is>
          <t>M11: Prostheses 05- Implants- (IMPL)                            03- Abutments                                       1,575.00</t>
        </is>
      </c>
    </row>
    <row r="375">
      <c r="A375" t="inlineStr">
        <is>
          <t>M11: Prostheses 05- Implants- (IMPL)                            04- Implant Impression Tools &amp; Supplies             1,170.00</t>
        </is>
      </c>
    </row>
    <row r="376">
      <c r="A376" t="inlineStr">
        <is>
          <t>M11: Prostheses 05- Implants- (IMPL)                            05- Bone Grafting Materials, Synthetic              6,225.00</t>
        </is>
      </c>
    </row>
    <row r="377">
      <c r="A377" t="inlineStr">
        <is>
          <t>M11: Prostheses 06- Laboratory- (LAB)                           02- Dental Blocks                                   2,520.00</t>
        </is>
      </c>
    </row>
    <row r="378">
      <c r="A378" t="inlineStr">
        <is>
          <t>M11: Prostheses 06- Laboratory- (LAB)                           03- Dental Blanks                                   9,253.81</t>
        </is>
      </c>
    </row>
    <row r="379">
      <c r="A379" t="inlineStr">
        <is>
          <t>M11: Prostheses 06- Laboratory- (LAB)                           04- 3D Inks &amp; Supplies                              1,440.00</t>
        </is>
      </c>
    </row>
    <row r="380">
      <c r="A380" t="inlineStr">
        <is>
          <t>M11: Prostheses 06- Laboratory- (LAB)                           05- Vacuum Machine Plates &amp; Supplies                   70.17</t>
        </is>
      </c>
    </row>
    <row r="381">
      <c r="A381" t="inlineStr">
        <is>
          <t>M11: Prostheses 06- Laboratory- (LAB)                           06- Dental Stone, Stains &amp; Wax                        172.50</t>
        </is>
      </c>
    </row>
    <row r="382">
      <c r="A382" t="inlineStr">
        <is>
          <t>M11: Prostheses 06- Laboratory- (LAB)                           07- Lab Drilling / Milling  Tools &amp; Accessorie        895.00</t>
        </is>
      </c>
    </row>
    <row r="383">
      <c r="A383" t="inlineStr">
        <is>
          <t>M11: Prostheses  External LAB invoices (Consumption sheet, cash in hand, not stock)                           10,987.50</t>
        </is>
      </c>
    </row>
    <row r="384">
      <c r="A384" t="inlineStr">
        <is>
          <t>M12: MS         01- Medical Devices and Instruments- (DEV)      03- Hand pieces, scaler devices &amp; accessories         158.00</t>
        </is>
      </c>
    </row>
    <row r="385">
      <c r="A385" t="inlineStr">
        <is>
          <t>M12: MS         01- Medical Devices and Instruments- (DEV)      04- Electronic Devices (Restorative, Perio, En        400.00</t>
        </is>
      </c>
    </row>
    <row r="386">
      <c r="A386" t="inlineStr">
        <is>
          <t>M12: MS         02- Drugs, Needles and Triage- (DRG)            01- Local Anesthetics                                 733.00</t>
        </is>
      </c>
    </row>
    <row r="387">
      <c r="A387" t="inlineStr">
        <is>
          <t>M12: MS         02- Drugs, Needles and Triage- (DRG)            03- Vital Signs/ emergency Kits                       156.00</t>
        </is>
      </c>
    </row>
    <row r="388">
      <c r="A388" t="inlineStr">
        <is>
          <t>M12: MS         02- Drugs, Needles and Triage- (DRG)            04- Needles &amp; Syringes                              3,025.44</t>
        </is>
      </c>
    </row>
    <row r="389">
      <c r="A389" t="inlineStr">
        <is>
          <t>M12: MS         03- Prevention and Control of Infection- (PCI)  01- Personal Protective Equipment                   1,284.08</t>
        </is>
      </c>
    </row>
    <row r="390">
      <c r="A390" t="inlineStr">
        <is>
          <t>M12: MS         03- Prevention and Control of Infection- (PCI)  02- General &amp; Waste Management                      1,909.26</t>
        </is>
      </c>
    </row>
    <row r="391">
      <c r="A391" t="inlineStr">
        <is>
          <t>M12: MS         03- Prevention and Control of Infection- (PCI)  03- Wrapping &amp; Protective Materials                   810.25</t>
        </is>
      </c>
    </row>
    <row r="392">
      <c r="A392" t="inlineStr">
        <is>
          <t>M12: MS         03- Prevention and Control of Infection- (PCI)  04- Sterilizer Monitoring                             367.00</t>
        </is>
      </c>
    </row>
    <row r="393">
      <c r="A393" t="inlineStr">
        <is>
          <t>M12: MS         04- Dental Materials and Supplies- (DMS)        01- Burs &amp; Stones Tools                               425.00</t>
        </is>
      </c>
    </row>
    <row r="394">
      <c r="A394" t="inlineStr">
        <is>
          <t>M12: MS         04- Dental Materials and Supplies- (DMS)        03- Scaling / Gingiva Materials &amp; Supplies          1,229.28</t>
        </is>
      </c>
    </row>
    <row r="395">
      <c r="A395" t="inlineStr">
        <is>
          <t>M12: MS         04- Dental Materials and Supplies- (DMS)        04- Restorative Fillings, Adhesives &amp; Posts Ma      5,661.92</t>
        </is>
      </c>
    </row>
    <row r="396">
      <c r="A396" t="inlineStr">
        <is>
          <t>M12: MS         04- Dental Materials and Supplies- (DMS)        05- Endodontic Materials &amp; Supplies                 3,567.83</t>
        </is>
      </c>
    </row>
    <row r="397">
      <c r="A397" t="inlineStr">
        <is>
          <t>M12: MS         04- Dental Materials and Supplies- (DMS)        06- Surgical Materials &amp; Supplies                     419.30</t>
        </is>
      </c>
    </row>
    <row r="398">
      <c r="A398" t="inlineStr">
        <is>
          <t>M12: MS         04- Dental Materials and Supplies- (DMS)        07- Impression Materials &amp; Supplies                 1,593.50</t>
        </is>
      </c>
    </row>
    <row r="399">
      <c r="A399" t="inlineStr">
        <is>
          <t>M12: MS         04- Dental Materials and Supplies- (DMS)        08- Bleaching Material &amp; Supplies                       0.00</t>
        </is>
      </c>
    </row>
    <row r="400">
      <c r="A400" t="inlineStr">
        <is>
          <t>M12: MS         04- Dental Materials and Supplies- (DMS)        09- Orthodontic Materials &amp; Supplies                1,395.00</t>
        </is>
      </c>
    </row>
    <row r="401">
      <c r="A401" t="inlineStr">
        <is>
          <t>M12: MS         05- Implants- (IMPL)                            06- Screwdriver                                       250.00</t>
        </is>
      </c>
    </row>
    <row r="402">
      <c r="A402" t="inlineStr">
        <is>
          <t>M12: OHF        07- Facility Management &amp; (FMS)                 02- Computer, Networking, &amp; Electronic Devices      2,664.00</t>
        </is>
      </c>
    </row>
    <row r="403">
      <c r="A403" t="inlineStr">
        <is>
          <t>M12: OHF        07- Facility Management &amp; (FMS)                 03- Patient Education, Giveaways                       82.75</t>
        </is>
      </c>
    </row>
    <row r="404">
      <c r="A404" t="inlineStr">
        <is>
          <t>M12: OHF        07- Facility Management &amp; (FMS)                 04- Pantry Device &amp; Supplies                        1,493.45</t>
        </is>
      </c>
    </row>
    <row r="405">
      <c r="A405" t="inlineStr">
        <is>
          <t>M12: OHF        07- Facility Management &amp; (FMS)                 05- Equipment Safety and Maintenance tools            456.00</t>
        </is>
      </c>
    </row>
    <row r="406">
      <c r="A406" t="inlineStr">
        <is>
          <t>M12: OHF        07- Facility Management &amp; (FMS)                 06- Photography &amp; Videography                       2,196.96</t>
        </is>
      </c>
    </row>
    <row r="407">
      <c r="A407" t="inlineStr">
        <is>
          <t>M12: OHF        07- Facility Management &amp; (FMS)                 08- Stationaries &amp; Printing Supplies                  331.47</t>
        </is>
      </c>
    </row>
    <row r="408">
      <c r="A408" t="inlineStr">
        <is>
          <t>M12: Pharmacy   01- Medical Devices and Instruments- (DEV)      06- Nitrous &amp; Oxygen Sedation                          15.00</t>
        </is>
      </c>
    </row>
    <row r="409">
      <c r="A409" t="inlineStr">
        <is>
          <t>M12: Pharmacy   02- Drugs, Needles and Triage- (DRG)            02- Medicaments                                       107.90</t>
        </is>
      </c>
    </row>
    <row r="410">
      <c r="A410" t="inlineStr">
        <is>
          <t>M12: Pharmacy   04- Dental Materials and Supplies- (DMS)        02- Nitrous &amp; Oxygen Sedation                         660.00</t>
        </is>
      </c>
    </row>
    <row r="411">
      <c r="A411" t="inlineStr">
        <is>
          <t>M12: Prostheses 05- Implants- (IMPL)                            01- Implant Fixtures                               16,598.48</t>
        </is>
      </c>
    </row>
    <row r="412">
      <c r="A412" t="inlineStr">
        <is>
          <t>M12: Prostheses 05- Implants- (IMPL)                            02- Healing &amp; Cover Screw                               0.00</t>
        </is>
      </c>
    </row>
    <row r="413">
      <c r="A413" t="inlineStr">
        <is>
          <t>M12: Prostheses 05- Implants- (IMPL)                            03- Abutments                                       1,690.00</t>
        </is>
      </c>
    </row>
    <row r="414">
      <c r="A414" t="inlineStr">
        <is>
          <t>M12: Prostheses 05- Implants- (IMPL)                            04- Implant Impression Tools &amp; Supplies               160.00</t>
        </is>
      </c>
    </row>
    <row r="415">
      <c r="A415" t="inlineStr">
        <is>
          <t>M12: Prostheses 05- Implants- (IMPL)                            05- Bone Grafting Materials, Synthetic              9,450.00</t>
        </is>
      </c>
    </row>
    <row r="416">
      <c r="A416" t="inlineStr">
        <is>
          <t>M12: Prostheses 06- Laboratory- (LAB)                           01- Dental Blocks                                   1,604.51</t>
        </is>
      </c>
    </row>
    <row r="417">
      <c r="A417" t="inlineStr">
        <is>
          <t>M12: Prostheses 06- Laboratory- (LAB)                           02- Dental Blanks                                   4,583.68</t>
        </is>
      </c>
    </row>
    <row r="418">
      <c r="A418" t="inlineStr">
        <is>
          <t>M12: Prostheses 06- Laboratory- (LAB)                           03- 3D Inks &amp; Supplies                              1,679.50</t>
        </is>
      </c>
    </row>
    <row r="419">
      <c r="A419" t="inlineStr">
        <is>
          <t>M12: Prostheses 06- Laboratory- (LAB)                           04- Vaccum Machine Plates &amp; Supplies                  127.66</t>
        </is>
      </c>
    </row>
    <row r="420">
      <c r="A420" t="inlineStr">
        <is>
          <t>M12: Prostheses 06- Laboratory- (LAB)                           05- Dental Stains,Stone &amp; Wax                         990.00</t>
        </is>
      </c>
    </row>
    <row r="421">
      <c r="A421" t="inlineStr">
        <is>
          <t>M12: Prostheses 06- Laboratory- (LAB)                           06- Lab Tools &amp; Accessories                         1,838.15</t>
        </is>
      </c>
    </row>
    <row r="422">
      <c r="A422" t="inlineStr">
        <is>
          <t>M12: Prostheses 06- Laboratory- (LAB)                           08- External Lab                                    5,475.00</t>
        </is>
      </c>
    </row>
    <row r="423">
      <c r="A423" t="inlineStr">
        <is>
          <t>M12: Prostheses  External LAB invoices (Consumption sheet, cash in hand, not stock)                           12,557.75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t="inlineStr">
        <is>
          <t>Purpose: map every FY2025 expense line to one of the sixteen DOH cost types, by month, so the cost submission can be</t>
        </is>
      </c>
    </row>
    <row r="2">
      <c r="A2" t="inlineStr">
        <is>
          <t>re-expressed with cost buckets and cost types that both equal the ledger (DOH SY02 rejection: Cost Bucket / Cost Type Match).</t>
        </is>
      </c>
    </row>
    <row r="3"/>
    <row r="4">
      <c r="A4" t="inlineStr">
        <is>
          <t>1. Start from the same monthly ledger that gave the locked figures (row 'Ledger (Arjun, locked)'). Every month must reconcile to 0.00.</t>
        </is>
      </c>
    </row>
    <row r="5">
      <c r="A5" t="inlineStr">
        <is>
          <t>2. First classify each cost centre as DIRECT (treats patients: dental surgeries, imaging room) or OVERHEAD (administration, reception/front office,</t>
        </is>
      </c>
    </row>
    <row r="6">
      <c r="A6" t="inlineStr">
        <is>
          <t xml:space="preserve">   management, HR, finance, IT, marketing, facility services, head office).</t>
        </is>
      </c>
    </row>
    <row r="7">
      <c r="A7" t="inlineStr">
        <is>
          <t>3. Expenses of OVERHEAD cost centres go to OHF (or OHDepreciation for their depreciation, OHC if charged by a corporate office).</t>
        </is>
      </c>
    </row>
    <row r="8">
      <c r="A8" t="inlineStr">
        <is>
          <t xml:space="preserve">   Expenses of DIRECT cost centres go to the direct cost types by their nature (salaries by staff category, supplies, depreciation, GS).</t>
        </is>
      </c>
    </row>
    <row r="9">
      <c r="A9" t="inlineStr">
        <is>
          <t>4. Rent, utilities, maintenance and security: if the premises are booked to an overhead cost centre, they are OHF; if booked to the clinic rooms, GS.</t>
        </is>
      </c>
    </row>
    <row r="10">
      <c r="A10" t="inlineStr">
        <is>
          <t>5. Outsourced dental laboratory invoices are Laboratory; crowns/dentures/implants are Prostheses; anaesthetics and drugs are Pharmacy.</t>
        </is>
      </c>
    </row>
    <row r="11">
      <c r="A11" t="inlineStr">
        <is>
          <t>6. Use accrual figures (Standard 3.1.3). Exclude balance-sheet items. Include third-party expenses not in the GL if relevant (3.1.2).</t>
        </is>
      </c>
    </row>
    <row r="12">
      <c r="A12" t="inlineStr">
        <is>
          <t>7. The 'Current implied' sheet shows what the rejected files implied per cost type. It is for comparison only; do not copy it.</t>
        </is>
      </c>
    </row>
    <row r="13">
      <c r="A13" t="inlineStr">
        <is>
          <t>8. DOH expects the overhead ratio between 20% and under 50%; below 20% draws a warning. Report what the ledger says.</t>
        </is>
      </c>
    </row>
    <row r="14"/>
    <row r="15">
      <c r="A15" t="inlineStr">
        <is>
          <t>Return this file as input/Ledger_by_Cost_Type_FY2025.xlsx. The two-margin engine (scripts/rebalance_two_view.py) reads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Cost type</t>
        </is>
      </c>
      <c r="B1" s="1" t="inlineStr">
        <is>
          <t>Jan</t>
        </is>
      </c>
      <c r="C1" s="1" t="inlineStr">
        <is>
          <t>Feb</t>
        </is>
      </c>
      <c r="D1" s="1" t="inlineStr">
        <is>
          <t>Mar</t>
        </is>
      </c>
      <c r="E1" s="1" t="inlineStr">
        <is>
          <t>Apr</t>
        </is>
      </c>
      <c r="F1" s="1" t="inlineStr">
        <is>
          <t>May</t>
        </is>
      </c>
      <c r="G1" s="1" t="inlineStr">
        <is>
          <t>Jun</t>
        </is>
      </c>
      <c r="H1" s="1" t="inlineStr">
        <is>
          <t>Jul</t>
        </is>
      </c>
      <c r="I1" s="1" t="inlineStr">
        <is>
          <t>Aug</t>
        </is>
      </c>
      <c r="J1" s="1" t="inlineStr">
        <is>
          <t>Sep</t>
        </is>
      </c>
      <c r="K1" s="1" t="inlineStr">
        <is>
          <t>Oct</t>
        </is>
      </c>
      <c r="L1" s="1" t="inlineStr">
        <is>
          <t>Nov</t>
        </is>
      </c>
      <c r="M1" s="1" t="inlineStr">
        <is>
          <t>Dec</t>
        </is>
      </c>
      <c r="N1" s="1" t="inlineStr">
        <is>
          <t>FY2025 total</t>
        </is>
      </c>
      <c r="O1" s="1" t="inlineStr">
        <is>
          <t>Share</t>
        </is>
      </c>
    </row>
    <row r="2">
      <c r="A2" t="inlineStr">
        <is>
          <t>SWNurs</t>
        </is>
      </c>
      <c r="B2" s="7" t="n">
        <v>55736.67</v>
      </c>
      <c r="C2" s="7" t="n">
        <v>60506.604</v>
      </c>
      <c r="D2" s="7" t="n">
        <v>68913.474</v>
      </c>
      <c r="E2" s="7" t="n">
        <v>57524.405</v>
      </c>
      <c r="F2" s="7" t="n">
        <v>58313.543</v>
      </c>
      <c r="G2" s="7" t="n">
        <v>73130.595</v>
      </c>
      <c r="H2" s="7" t="n">
        <v>54158.436</v>
      </c>
      <c r="I2" s="7" t="n">
        <v>58192.573</v>
      </c>
      <c r="J2" s="7" t="n">
        <v>59803.285</v>
      </c>
      <c r="K2" s="7" t="n">
        <v>62476.192</v>
      </c>
      <c r="L2" s="7" t="n">
        <v>56723.65</v>
      </c>
      <c r="M2" s="7" t="n">
        <v>67721.814</v>
      </c>
      <c r="N2" s="7" t="n">
        <v>733201.241</v>
      </c>
      <c r="O2" s="8" t="n">
        <v>0.1761135619697248</v>
      </c>
    </row>
    <row r="3">
      <c r="A3" t="inlineStr">
        <is>
          <t>SWDoc</t>
        </is>
      </c>
      <c r="B3" s="7" t="n">
        <v>156702.002</v>
      </c>
      <c r="C3" s="7" t="n">
        <v>171621.546</v>
      </c>
      <c r="D3" s="7" t="n">
        <v>192980.282</v>
      </c>
      <c r="E3" s="7" t="n">
        <v>165105.147</v>
      </c>
      <c r="F3" s="7" t="n">
        <v>163130.336</v>
      </c>
      <c r="G3" s="7" t="n">
        <v>206870.954</v>
      </c>
      <c r="H3" s="7" t="n">
        <v>152430.262</v>
      </c>
      <c r="I3" s="7" t="n">
        <v>163691.845</v>
      </c>
      <c r="J3" s="7" t="n">
        <v>168519.31</v>
      </c>
      <c r="K3" s="7" t="n">
        <v>176797.824</v>
      </c>
      <c r="L3" s="7" t="n">
        <v>155782.924</v>
      </c>
      <c r="M3" s="7" t="n">
        <v>190270.905</v>
      </c>
      <c r="N3" s="7" t="n">
        <v>2063903.337</v>
      </c>
      <c r="O3" s="8" t="n">
        <v>0.4957457078830439</v>
      </c>
    </row>
    <row r="4">
      <c r="A4" t="inlineStr">
        <is>
          <t>SWAllied</t>
        </is>
      </c>
      <c r="B4" s="7" t="n">
        <v>22872.146</v>
      </c>
      <c r="C4" s="7" t="n">
        <v>23409.751</v>
      </c>
      <c r="D4" s="7" t="n">
        <v>26350.826</v>
      </c>
      <c r="E4" s="7" t="n">
        <v>22972.612</v>
      </c>
      <c r="F4" s="7" t="n">
        <v>21172.484</v>
      </c>
      <c r="G4" s="7" t="n">
        <v>26981.679</v>
      </c>
      <c r="H4" s="7" t="n">
        <v>21075.289</v>
      </c>
      <c r="I4" s="7" t="n">
        <v>22809.501</v>
      </c>
      <c r="J4" s="7" t="n">
        <v>22510.652</v>
      </c>
      <c r="K4" s="7" t="n">
        <v>24113.06</v>
      </c>
      <c r="L4" s="7" t="n">
        <v>22314.39</v>
      </c>
      <c r="M4" s="7" t="n">
        <v>27360.159</v>
      </c>
      <c r="N4" s="7" t="n">
        <v>283942.549</v>
      </c>
      <c r="O4" s="8" t="n">
        <v>0.06820246734846036</v>
      </c>
    </row>
    <row r="5">
      <c r="A5" t="inlineStr">
        <is>
          <t>SWNonClin</t>
        </is>
      </c>
      <c r="B5" s="7" t="n">
        <v>27165.255</v>
      </c>
      <c r="C5" s="7" t="n">
        <v>28086</v>
      </c>
      <c r="D5" s="7" t="n">
        <v>31716.946</v>
      </c>
      <c r="E5" s="7" t="n">
        <v>26955.661</v>
      </c>
      <c r="F5" s="7" t="n">
        <v>25667.68</v>
      </c>
      <c r="G5" s="7" t="n">
        <v>32446.122</v>
      </c>
      <c r="H5" s="7" t="n">
        <v>25220.706</v>
      </c>
      <c r="I5" s="7" t="n">
        <v>27544.267</v>
      </c>
      <c r="J5" s="7" t="n">
        <v>26764.557</v>
      </c>
      <c r="K5" s="7" t="n">
        <v>28656.819</v>
      </c>
      <c r="L5" s="7" t="n">
        <v>26604.39</v>
      </c>
      <c r="M5" s="7" t="n">
        <v>33235.524</v>
      </c>
      <c r="N5" s="7" t="n">
        <v>340063.927</v>
      </c>
      <c r="O5" s="8" t="n">
        <v>0.0816827170119076</v>
      </c>
    </row>
    <row r="6">
      <c r="A6" t="inlineStr">
        <is>
          <t>Laboratory</t>
        </is>
      </c>
      <c r="B6" s="7" t="n">
        <v>0</v>
      </c>
      <c r="C6" s="7" t="n">
        <v>0</v>
      </c>
      <c r="D6" s="7" t="n">
        <v>0</v>
      </c>
      <c r="E6" s="7" t="n">
        <v>0</v>
      </c>
      <c r="F6" s="7" t="n">
        <v>0</v>
      </c>
      <c r="G6" s="7" t="n">
        <v>0</v>
      </c>
      <c r="H6" s="7" t="n">
        <v>0</v>
      </c>
      <c r="I6" s="7" t="n">
        <v>0</v>
      </c>
      <c r="J6" s="7" t="n">
        <v>0</v>
      </c>
      <c r="K6" s="7" t="n">
        <v>0</v>
      </c>
      <c r="L6" s="7" t="n">
        <v>0</v>
      </c>
      <c r="M6" s="7" t="n">
        <v>0</v>
      </c>
      <c r="N6" s="7" t="n">
        <v>0</v>
      </c>
      <c r="O6" s="8" t="n">
        <v>0</v>
      </c>
    </row>
    <row r="7">
      <c r="A7" t="inlineStr">
        <is>
          <t>Imaging</t>
        </is>
      </c>
      <c r="B7" s="7" t="n">
        <v>0</v>
      </c>
      <c r="C7" s="7" t="n">
        <v>0</v>
      </c>
      <c r="D7" s="7" t="n">
        <v>0</v>
      </c>
      <c r="E7" s="7" t="n">
        <v>0</v>
      </c>
      <c r="F7" s="7" t="n">
        <v>0</v>
      </c>
      <c r="G7" s="7" t="n">
        <v>0</v>
      </c>
      <c r="H7" s="7" t="n">
        <v>0</v>
      </c>
      <c r="I7" s="7" t="n">
        <v>0</v>
      </c>
      <c r="J7" s="7" t="n">
        <v>0</v>
      </c>
      <c r="K7" s="7" t="n">
        <v>0</v>
      </c>
      <c r="L7" s="7" t="n">
        <v>0</v>
      </c>
      <c r="M7" s="7" t="n">
        <v>0</v>
      </c>
      <c r="N7" s="7" t="n">
        <v>0</v>
      </c>
      <c r="O7" s="8" t="n">
        <v>0</v>
      </c>
    </row>
    <row r="8">
      <c r="A8" t="inlineStr">
        <is>
          <t>Pharmacy</t>
        </is>
      </c>
      <c r="B8" s="7" t="n">
        <v>0</v>
      </c>
      <c r="C8" s="7" t="n">
        <v>0</v>
      </c>
      <c r="D8" s="7" t="n">
        <v>0</v>
      </c>
      <c r="E8" s="7" t="n">
        <v>0</v>
      </c>
      <c r="F8" s="7" t="n">
        <v>0</v>
      </c>
      <c r="G8" s="7" t="n">
        <v>0</v>
      </c>
      <c r="H8" s="7" t="n">
        <v>0</v>
      </c>
      <c r="I8" s="7" t="n">
        <v>0</v>
      </c>
      <c r="J8" s="7" t="n">
        <v>0</v>
      </c>
      <c r="K8" s="7" t="n">
        <v>0</v>
      </c>
      <c r="L8" s="7" t="n">
        <v>0</v>
      </c>
      <c r="M8" s="7" t="n">
        <v>0</v>
      </c>
      <c r="N8" s="7" t="n">
        <v>0</v>
      </c>
      <c r="O8" s="8" t="n">
        <v>0</v>
      </c>
    </row>
    <row r="9">
      <c r="A9" t="inlineStr">
        <is>
          <t>Prostheses</t>
        </is>
      </c>
      <c r="B9" s="7" t="n">
        <v>0</v>
      </c>
      <c r="C9" s="7" t="n">
        <v>0</v>
      </c>
      <c r="D9" s="7" t="n">
        <v>0</v>
      </c>
      <c r="E9" s="7" t="n">
        <v>0</v>
      </c>
      <c r="F9" s="7" t="n">
        <v>0</v>
      </c>
      <c r="G9" s="7" t="n">
        <v>0</v>
      </c>
      <c r="H9" s="7" t="n">
        <v>0</v>
      </c>
      <c r="I9" s="7" t="n">
        <v>0</v>
      </c>
      <c r="J9" s="7" t="n">
        <v>0</v>
      </c>
      <c r="K9" s="7" t="n">
        <v>0</v>
      </c>
      <c r="L9" s="7" t="n">
        <v>0</v>
      </c>
      <c r="M9" s="7" t="n">
        <v>0</v>
      </c>
      <c r="N9" s="7" t="n">
        <v>0</v>
      </c>
      <c r="O9" s="8" t="n">
        <v>0</v>
      </c>
    </row>
    <row r="10">
      <c r="A10" t="inlineStr">
        <is>
          <t>MS</t>
        </is>
      </c>
      <c r="B10" s="7" t="n">
        <v>25383.894</v>
      </c>
      <c r="C10" s="7" t="n">
        <v>28425.261</v>
      </c>
      <c r="D10" s="7" t="n">
        <v>32199.644</v>
      </c>
      <c r="E10" s="7" t="n">
        <v>28193.478</v>
      </c>
      <c r="F10" s="7" t="n">
        <v>26184.621</v>
      </c>
      <c r="G10" s="7" t="n">
        <v>33826.944</v>
      </c>
      <c r="H10" s="7" t="n">
        <v>24669.243</v>
      </c>
      <c r="I10" s="7" t="n">
        <v>27593.186</v>
      </c>
      <c r="J10" s="7" t="n">
        <v>27598.997</v>
      </c>
      <c r="K10" s="7" t="n">
        <v>29213.675</v>
      </c>
      <c r="L10" s="7" t="n">
        <v>25244.209</v>
      </c>
      <c r="M10" s="7" t="n">
        <v>31944.551</v>
      </c>
      <c r="N10" s="7" t="n">
        <v>340477.703</v>
      </c>
      <c r="O10" s="8" t="n">
        <v>0.08178210523050662</v>
      </c>
    </row>
    <row r="11">
      <c r="A11" t="inlineStr">
        <is>
          <t>Hotel</t>
        </is>
      </c>
      <c r="B11" s="7" t="n">
        <v>0</v>
      </c>
      <c r="C11" s="7" t="n">
        <v>0</v>
      </c>
      <c r="D11" s="7" t="n">
        <v>0</v>
      </c>
      <c r="E11" s="7" t="n">
        <v>0</v>
      </c>
      <c r="F11" s="7" t="n">
        <v>0</v>
      </c>
      <c r="G11" s="7" t="n">
        <v>0</v>
      </c>
      <c r="H11" s="7" t="n">
        <v>0</v>
      </c>
      <c r="I11" s="7" t="n">
        <v>0</v>
      </c>
      <c r="J11" s="7" t="n">
        <v>0</v>
      </c>
      <c r="K11" s="7" t="n">
        <v>0</v>
      </c>
      <c r="L11" s="7" t="n">
        <v>0</v>
      </c>
      <c r="M11" s="7" t="n">
        <v>0</v>
      </c>
      <c r="N11" s="7" t="n">
        <v>0</v>
      </c>
      <c r="O11" s="8" t="n">
        <v>0</v>
      </c>
    </row>
    <row r="12">
      <c r="A12" t="inlineStr">
        <is>
          <t>GS</t>
        </is>
      </c>
      <c r="B12" s="7" t="n">
        <v>0</v>
      </c>
      <c r="C12" s="7" t="n">
        <v>0</v>
      </c>
      <c r="D12" s="7" t="n">
        <v>0</v>
      </c>
      <c r="E12" s="7" t="n">
        <v>0</v>
      </c>
      <c r="F12" s="7" t="n">
        <v>0</v>
      </c>
      <c r="G12" s="7" t="n">
        <v>0</v>
      </c>
      <c r="H12" s="7" t="n">
        <v>0</v>
      </c>
      <c r="I12" s="7" t="n">
        <v>0</v>
      </c>
      <c r="J12" s="7" t="n">
        <v>0</v>
      </c>
      <c r="K12" s="7" t="n">
        <v>0</v>
      </c>
      <c r="L12" s="7" t="n">
        <v>0</v>
      </c>
      <c r="M12" s="7" t="n">
        <v>0</v>
      </c>
      <c r="N12" s="7" t="n">
        <v>0</v>
      </c>
      <c r="O12" s="8" t="n">
        <v>0</v>
      </c>
    </row>
    <row r="13">
      <c r="A13" t="inlineStr">
        <is>
          <t>Depreciation</t>
        </is>
      </c>
      <c r="B13" s="7" t="n">
        <v>10225.951</v>
      </c>
      <c r="C13" s="7" t="n">
        <v>10647.038</v>
      </c>
      <c r="D13" s="7" t="n">
        <v>12137.61</v>
      </c>
      <c r="E13" s="7" t="n">
        <v>10362.392</v>
      </c>
      <c r="F13" s="7" t="n">
        <v>9761.378000000001</v>
      </c>
      <c r="G13" s="7" t="n">
        <v>12330.209</v>
      </c>
      <c r="H13" s="7" t="n">
        <v>9603.029</v>
      </c>
      <c r="I13" s="7" t="n">
        <v>10539.643</v>
      </c>
      <c r="J13" s="7" t="n">
        <v>10190.927</v>
      </c>
      <c r="K13" s="7" t="n">
        <v>10934.427</v>
      </c>
      <c r="L13" s="7" t="n">
        <v>9874.922</v>
      </c>
      <c r="M13" s="7" t="n">
        <v>12461.012</v>
      </c>
      <c r="N13" s="7" t="n">
        <v>129068.538</v>
      </c>
      <c r="O13" s="8" t="n">
        <v>0.03100202058360234</v>
      </c>
    </row>
    <row r="14">
      <c r="A14" t="inlineStr">
        <is>
          <t>OHF</t>
        </is>
      </c>
      <c r="B14" s="7" t="n">
        <v>15819.768</v>
      </c>
      <c r="C14" s="7" t="n">
        <v>16353.682</v>
      </c>
      <c r="D14" s="7" t="n">
        <v>18663.328</v>
      </c>
      <c r="E14" s="7" t="n">
        <v>15942.522</v>
      </c>
      <c r="F14" s="7" t="n">
        <v>15048.788</v>
      </c>
      <c r="G14" s="7" t="n">
        <v>18938.115</v>
      </c>
      <c r="H14" s="7" t="n">
        <v>14832.581</v>
      </c>
      <c r="I14" s="7" t="n">
        <v>16171.619</v>
      </c>
      <c r="J14" s="7" t="n">
        <v>15659.915</v>
      </c>
      <c r="K14" s="7" t="n">
        <v>16855.407</v>
      </c>
      <c r="L14" s="7" t="n">
        <v>15336.826</v>
      </c>
      <c r="M14" s="7" t="n">
        <v>19192.025</v>
      </c>
      <c r="N14" s="7" t="n">
        <v>198814.576</v>
      </c>
      <c r="O14" s="8" t="n">
        <v>0.04775488800742572</v>
      </c>
    </row>
    <row r="15">
      <c r="A15" t="inlineStr">
        <is>
          <t>OHDepreciation</t>
        </is>
      </c>
      <c r="B15" s="7" t="n">
        <v>0</v>
      </c>
      <c r="C15" s="7" t="n">
        <v>0</v>
      </c>
      <c r="D15" s="7" t="n">
        <v>0</v>
      </c>
      <c r="E15" s="7" t="n">
        <v>0</v>
      </c>
      <c r="F15" s="7" t="n">
        <v>0</v>
      </c>
      <c r="G15" s="7" t="n">
        <v>0</v>
      </c>
      <c r="H15" s="7" t="n">
        <v>0</v>
      </c>
      <c r="I15" s="7" t="n">
        <v>0</v>
      </c>
      <c r="J15" s="7" t="n">
        <v>0</v>
      </c>
      <c r="K15" s="7" t="n">
        <v>0</v>
      </c>
      <c r="L15" s="7" t="n">
        <v>0</v>
      </c>
      <c r="M15" s="7" t="n">
        <v>0</v>
      </c>
      <c r="N15" s="7" t="n">
        <v>0</v>
      </c>
      <c r="O15" s="8" t="n">
        <v>0</v>
      </c>
    </row>
    <row r="16">
      <c r="A16" t="inlineStr">
        <is>
          <t>OHC</t>
        </is>
      </c>
      <c r="B16" s="7" t="n">
        <v>5737.501</v>
      </c>
      <c r="C16" s="7" t="n">
        <v>6250.031</v>
      </c>
      <c r="D16" s="7" t="n">
        <v>7354.386</v>
      </c>
      <c r="E16" s="7" t="n">
        <v>5580.077</v>
      </c>
      <c r="F16" s="7" t="n">
        <v>5590.133</v>
      </c>
      <c r="G16" s="7" t="n">
        <v>6951.658</v>
      </c>
      <c r="H16" s="7" t="n">
        <v>5463.637</v>
      </c>
      <c r="I16" s="7" t="n">
        <v>5978.173</v>
      </c>
      <c r="J16" s="7" t="n">
        <v>5546.827</v>
      </c>
      <c r="K16" s="7" t="n">
        <v>6055.076</v>
      </c>
      <c r="L16" s="7" t="n">
        <v>5647.897</v>
      </c>
      <c r="M16" s="7" t="n">
        <v>7602.599</v>
      </c>
      <c r="N16" s="7" t="n">
        <v>73757.995</v>
      </c>
      <c r="O16" s="8" t="n">
        <v>0.01771653196532867</v>
      </c>
    </row>
    <row r="17">
      <c r="A17" t="inlineStr">
        <is>
          <t>NABMs</t>
        </is>
      </c>
      <c r="B17" s="7" t="n">
        <v>0</v>
      </c>
      <c r="C17" s="7" t="n">
        <v>0</v>
      </c>
      <c r="D17" s="7" t="n">
        <v>0</v>
      </c>
      <c r="E17" s="7" t="n">
        <v>0</v>
      </c>
      <c r="F17" s="7" t="n">
        <v>0</v>
      </c>
      <c r="G17" s="7" t="n">
        <v>0</v>
      </c>
      <c r="H17" s="7" t="n">
        <v>0</v>
      </c>
      <c r="I17" s="7" t="n">
        <v>0</v>
      </c>
      <c r="J17" s="7" t="n">
        <v>0</v>
      </c>
      <c r="K17" s="7" t="n">
        <v>0</v>
      </c>
      <c r="L17" s="7" t="n">
        <v>0</v>
      </c>
      <c r="M17" s="7" t="n">
        <v>0</v>
      </c>
      <c r="N17" s="7" t="n">
        <v>0</v>
      </c>
      <c r="O17" s="8" t="n">
        <v>0</v>
      </c>
    </row>
    <row r="18">
      <c r="A18" s="4" t="inlineStr">
        <is>
          <t>Total (cost-type view of the sent files)</t>
        </is>
      </c>
      <c r="B18" s="4" t="n">
        <v>319643.187</v>
      </c>
      <c r="C18" s="4" t="n">
        <v>345299.913</v>
      </c>
      <c r="D18" s="4" t="n">
        <v>390316.496</v>
      </c>
      <c r="E18" s="4" t="n">
        <v>332636.294</v>
      </c>
      <c r="F18" s="4" t="n">
        <v>324868.963</v>
      </c>
      <c r="G18" s="4" t="n">
        <v>411476.276</v>
      </c>
      <c r="H18" s="4" t="n">
        <v>307453.183</v>
      </c>
      <c r="I18" s="4" t="n">
        <v>332520.807</v>
      </c>
      <c r="J18" s="4" t="n">
        <v>336594.47</v>
      </c>
      <c r="K18" s="4" t="n">
        <v>355102.48</v>
      </c>
      <c r="L18" s="4" t="n">
        <v>317529.208</v>
      </c>
      <c r="M18" s="4" t="n">
        <v>389788.589</v>
      </c>
      <c r="N18" s="4" t="n">
        <v>4163229.866</v>
      </c>
      <c r="O18" s="4" t="n">
        <v>1</v>
      </c>
    </row>
    <row r="19">
      <c r="A19" t="inlineStr">
        <is>
          <t>Note: the sent files carried only 64.5% of each claim in the cost-type view; the remaining 35.5% sat in the bucket view.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26" customWidth="1" min="1" max="1"/>
    <col width="100" customWidth="1" min="14" max="14"/>
  </cols>
  <sheetData>
    <row r="1">
      <c r="A1" s="1" t="inlineStr">
        <is>
          <t>Rule</t>
        </is>
      </c>
      <c r="B1" s="1" t="inlineStr">
        <is>
          <t>M01</t>
        </is>
      </c>
      <c r="C1" s="1" t="inlineStr">
        <is>
          <t>M02</t>
        </is>
      </c>
      <c r="D1" s="1" t="inlineStr">
        <is>
          <t>M03</t>
        </is>
      </c>
      <c r="E1" s="1" t="inlineStr">
        <is>
          <t>M04</t>
        </is>
      </c>
      <c r="F1" s="1" t="inlineStr">
        <is>
          <t>M05</t>
        </is>
      </c>
      <c r="G1" s="1" t="inlineStr">
        <is>
          <t>M06</t>
        </is>
      </c>
      <c r="H1" s="1" t="inlineStr">
        <is>
          <t>M07</t>
        </is>
      </c>
      <c r="I1" s="1" t="inlineStr">
        <is>
          <t>M08</t>
        </is>
      </c>
      <c r="J1" s="1" t="inlineStr">
        <is>
          <t>M09</t>
        </is>
      </c>
      <c r="K1" s="1" t="inlineStr">
        <is>
          <t>M10</t>
        </is>
      </c>
      <c r="L1" s="1" t="inlineStr">
        <is>
          <t>M11</t>
        </is>
      </c>
      <c r="M1" s="1" t="inlineStr">
        <is>
          <t>M12</t>
        </is>
      </c>
      <c r="N1" s="1" t="inlineStr">
        <is>
          <t>Basis</t>
        </is>
      </c>
    </row>
    <row r="2">
      <c r="A2" t="inlineStr">
        <is>
          <t>SWAllied lab share</t>
        </is>
      </c>
      <c r="B2" s="9" t="n">
        <v>0.5053003533568905</v>
      </c>
      <c r="C2" s="9" t="n">
        <v>0.4448850118953211</v>
      </c>
      <c r="D2" s="9" t="n">
        <v>0.4457201678676063</v>
      </c>
      <c r="E2" s="9" t="n">
        <v>0.3190151911995809</v>
      </c>
      <c r="F2" s="9" t="n">
        <v>0.4188792837936224</v>
      </c>
      <c r="G2" s="9" t="n">
        <v>0</v>
      </c>
      <c r="H2" s="9" t="n">
        <v>0.3457943925233645</v>
      </c>
      <c r="I2" s="9" t="n">
        <v>0.5269311346894641</v>
      </c>
      <c r="J2" s="9" t="n">
        <v>0.4827586206896552</v>
      </c>
      <c r="K2" s="9" t="n">
        <v>0.3922371668851912</v>
      </c>
      <c r="L2" s="9" t="n">
        <v>0.5061071497246054</v>
      </c>
      <c r="M2" s="9" t="n">
        <v>0.6062556139336295</v>
      </c>
      <c r="N2" t="inlineStr">
        <is>
          <t>dental technicians / (dental technicians + CSSD technicians), Salary sheet; the engine pre-assigns this share of SWAllied to the Prosthesis bucket on the prosthesis-coded claims (ruling 13 Oct 2026)</t>
        </is>
      </c>
    </row>
    <row r="3">
      <c r="A3" t="inlineStr">
        <is>
          <t>SWDoc to Anaesthesia</t>
        </is>
      </c>
      <c r="B3" s="9" t="n">
        <v>0.02</v>
      </c>
      <c r="C3" s="9" t="n">
        <v>0.02</v>
      </c>
      <c r="D3" s="9" t="n">
        <v>0.02</v>
      </c>
      <c r="E3" s="9" t="n">
        <v>0.02</v>
      </c>
      <c r="F3" s="9" t="n">
        <v>0.02</v>
      </c>
      <c r="G3" s="9" t="n">
        <v>0.02</v>
      </c>
      <c r="H3" s="9" t="n">
        <v>0.02</v>
      </c>
      <c r="I3" s="9" t="n">
        <v>0.02</v>
      </c>
      <c r="J3" s="9" t="n">
        <v>0.02</v>
      </c>
      <c r="K3" s="9" t="n">
        <v>0.02</v>
      </c>
      <c r="L3" s="9" t="n">
        <v>0.02</v>
      </c>
      <c r="M3" s="9" t="n">
        <v>0.02</v>
      </c>
      <c r="N3" t="inlineStr">
        <is>
          <t>ruling 10 Oct 2026</t>
        </is>
      </c>
    </row>
    <row r="4">
      <c r="A4" t="inlineStr">
        <is>
          <t>SWNurs to Anaesthesia</t>
        </is>
      </c>
      <c r="B4" s="9" t="n">
        <v>0.01</v>
      </c>
      <c r="C4" s="9" t="n">
        <v>0.01</v>
      </c>
      <c r="D4" s="9" t="n">
        <v>0.01</v>
      </c>
      <c r="E4" s="9" t="n">
        <v>0.01</v>
      </c>
      <c r="F4" s="9" t="n">
        <v>0.01</v>
      </c>
      <c r="G4" s="9" t="n">
        <v>0.01</v>
      </c>
      <c r="H4" s="9" t="n">
        <v>0.01</v>
      </c>
      <c r="I4" s="9" t="n">
        <v>0.01</v>
      </c>
      <c r="J4" s="9" t="n">
        <v>0.01</v>
      </c>
      <c r="K4" s="9" t="n">
        <v>0.01</v>
      </c>
      <c r="L4" s="9" t="n">
        <v>0.01</v>
      </c>
      <c r="M4" s="9" t="n">
        <v>0.01</v>
      </c>
      <c r="N4" t="inlineStr">
        <is>
          <t>ruling 10 Oct 2026</t>
        </is>
      </c>
    </row>
    <row r="5">
      <c r="A5" t="inlineStr">
        <is>
          <t>SWNurs to Imaging</t>
        </is>
      </c>
      <c r="B5" s="9" t="n">
        <v>0.04</v>
      </c>
      <c r="C5" s="9" t="n">
        <v>0.04</v>
      </c>
      <c r="D5" s="9" t="n">
        <v>0.04</v>
      </c>
      <c r="E5" s="9" t="n">
        <v>0.04</v>
      </c>
      <c r="F5" s="9" t="n">
        <v>0.04</v>
      </c>
      <c r="G5" s="9" t="n">
        <v>0.04</v>
      </c>
      <c r="H5" s="9" t="n">
        <v>0.04</v>
      </c>
      <c r="I5" s="9" t="n">
        <v>0.04</v>
      </c>
      <c r="J5" s="9" t="n">
        <v>0.04</v>
      </c>
      <c r="K5" s="9" t="n">
        <v>0.04</v>
      </c>
      <c r="L5" s="9" t="n">
        <v>0.04</v>
      </c>
      <c r="M5" s="9" t="n">
        <v>0.04</v>
      </c>
      <c r="N5" t="inlineStr">
        <is>
          <t>ruling 10 Oct 2026</t>
        </is>
      </c>
    </row>
    <row r="6">
      <c r="A6" t="inlineStr">
        <is>
          <t>Depreciation to Imaging</t>
        </is>
      </c>
      <c r="B6" s="9" t="n">
        <v>0.04</v>
      </c>
      <c r="C6" s="9" t="n">
        <v>0.04</v>
      </c>
      <c r="D6" s="9" t="n">
        <v>0.04</v>
      </c>
      <c r="E6" s="9" t="n">
        <v>0.04</v>
      </c>
      <c r="F6" s="9" t="n">
        <v>0.04</v>
      </c>
      <c r="G6" s="9" t="n">
        <v>0.04</v>
      </c>
      <c r="H6" s="9" t="n">
        <v>0.04</v>
      </c>
      <c r="I6" s="9" t="n">
        <v>0.04</v>
      </c>
      <c r="J6" s="9" t="n">
        <v>0.04</v>
      </c>
      <c r="K6" s="9" t="n">
        <v>0.04</v>
      </c>
      <c r="L6" s="9" t="n">
        <v>0.04</v>
      </c>
      <c r="M6" s="9" t="n">
        <v>0.04</v>
      </c>
      <c r="N6" t="inlineStr">
        <is>
          <t>ruling 10 Oct 2026 (equipment depreciation; OPG / X-ray units)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2026-10-10T14:13:54Z</dcterms:created>
  <dcterms:modified xmlns:dcterms="http://purl.org/dc/terms/" xmlns:xsi="http://www.w3.org/2001/XMLSchema-instance" xsi:type="dcterms:W3CDTF">2026-10-13T16:06:07Z</dcterms:modified>
</cp:coreProperties>
</file>