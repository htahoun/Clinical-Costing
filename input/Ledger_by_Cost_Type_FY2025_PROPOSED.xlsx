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types by month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Current impli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Cost type</t>
        </is>
      </c>
      <c r="B1" s="1" t="inlineStr">
        <is>
          <t>Description (Standard v2.1 Appendix 1)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FY2025 total</t>
        </is>
      </c>
    </row>
    <row r="2">
      <c r="A2" t="inlineStr">
        <is>
          <t>SWNurs</t>
        </is>
      </c>
      <c r="B2" t="inlineStr">
        <is>
          <t>Salaries and wages — nursing (dental nurses)</t>
        </is>
      </c>
      <c r="C2" s="2" t="n">
        <v>45264.58</v>
      </c>
      <c r="D2" s="2" t="n">
        <v>47756.09</v>
      </c>
      <c r="E2" s="2" t="n">
        <v>56581.68</v>
      </c>
      <c r="F2" s="2" t="n">
        <v>46072.38</v>
      </c>
      <c r="G2" s="2" t="n">
        <v>42513</v>
      </c>
      <c r="H2" s="2" t="n">
        <v>57721.51</v>
      </c>
      <c r="I2" s="2" t="n">
        <v>41577.49</v>
      </c>
      <c r="J2" s="2" t="n">
        <v>47122.35</v>
      </c>
      <c r="K2" s="2" t="n">
        <v>45056.13</v>
      </c>
      <c r="L2" s="2" t="n">
        <v>49459.49</v>
      </c>
      <c r="M2" s="2" t="n">
        <v>43185.55</v>
      </c>
      <c r="N2" s="2" t="n">
        <v>58495.94</v>
      </c>
      <c r="O2" s="3">
        <f>SUM(C2:N2)</f>
        <v/>
      </c>
    </row>
    <row r="3">
      <c r="A3" t="inlineStr">
        <is>
          <t>SWDoc</t>
        </is>
      </c>
      <c r="B3" t="inlineStr">
        <is>
          <t>Salaries and wages — medical (dentists, oral surgeons, orthodontists)</t>
        </is>
      </c>
      <c r="C3" s="2" t="n">
        <v>128249.65</v>
      </c>
      <c r="D3" s="2" t="n">
        <v>135308.91</v>
      </c>
      <c r="E3" s="2" t="n">
        <v>160314.76</v>
      </c>
      <c r="F3" s="2" t="n">
        <v>130538.41</v>
      </c>
      <c r="G3" s="2" t="n">
        <v>120453.49</v>
      </c>
      <c r="H3" s="2" t="n">
        <v>163544.28</v>
      </c>
      <c r="I3" s="2" t="n">
        <v>117802.87</v>
      </c>
      <c r="J3" s="2" t="n">
        <v>133513.32</v>
      </c>
      <c r="K3" s="2" t="n">
        <v>127659.03</v>
      </c>
      <c r="L3" s="2" t="n">
        <v>140135.22</v>
      </c>
      <c r="M3" s="2" t="n">
        <v>122359.07</v>
      </c>
      <c r="N3" s="2" t="n">
        <v>165738.47</v>
      </c>
      <c r="O3" s="3">
        <f>SUM(C3:N3)</f>
        <v/>
      </c>
    </row>
    <row r="4">
      <c r="A4" t="inlineStr">
        <is>
          <t>SWAllied</t>
        </is>
      </c>
      <c r="B4" t="inlineStr">
        <is>
          <t>Salaries and wages — allied health incl. technicians (hygienists, radiographers, lab technicians)</t>
        </is>
      </c>
      <c r="C4" s="2" t="n">
        <v>16094.07</v>
      </c>
      <c r="D4" s="2" t="n">
        <v>16979.94</v>
      </c>
      <c r="E4" s="2" t="n">
        <v>20117.93</v>
      </c>
      <c r="F4" s="2" t="n">
        <v>16381.29</v>
      </c>
      <c r="G4" s="2" t="n">
        <v>15115.73</v>
      </c>
      <c r="H4" s="2" t="n">
        <v>20523.2</v>
      </c>
      <c r="I4" s="2" t="n">
        <v>14783.11</v>
      </c>
      <c r="J4" s="2" t="n">
        <v>16754.61</v>
      </c>
      <c r="K4" s="2" t="n">
        <v>16019.96</v>
      </c>
      <c r="L4" s="2" t="n">
        <v>17585.6</v>
      </c>
      <c r="M4" s="2" t="n">
        <v>15354.86</v>
      </c>
      <c r="N4" s="2" t="n">
        <v>20798.56</v>
      </c>
      <c r="O4" s="3">
        <f>SUM(C4:N4)</f>
        <v/>
      </c>
    </row>
    <row r="5">
      <c r="A5" t="inlineStr">
        <is>
          <t>SWNonClin</t>
        </is>
      </c>
      <c r="B5" t="inlineStr">
        <is>
          <t>Salaries and wages — non-clinical staff recorded in DIRECT cost centres (chairside assistants, clinic clerks). Admin/management in overhead cost centres go to OHF.</t>
        </is>
      </c>
      <c r="C5" s="2" t="n">
        <v>5029.4</v>
      </c>
      <c r="D5" s="2" t="n">
        <v>5306.23</v>
      </c>
      <c r="E5" s="2" t="n">
        <v>6286.85</v>
      </c>
      <c r="F5" s="2" t="n">
        <v>5119.15</v>
      </c>
      <c r="G5" s="2" t="n">
        <v>4723.67</v>
      </c>
      <c r="H5" s="2" t="n">
        <v>6413.5</v>
      </c>
      <c r="I5" s="2" t="n">
        <v>4619.72</v>
      </c>
      <c r="J5" s="2" t="n">
        <v>5235.82</v>
      </c>
      <c r="K5" s="2" t="n">
        <v>5006.24</v>
      </c>
      <c r="L5" s="2" t="n">
        <v>5495.5</v>
      </c>
      <c r="M5" s="2" t="n">
        <v>4798.39</v>
      </c>
      <c r="N5" s="2" t="n">
        <v>6499.55</v>
      </c>
      <c r="O5" s="3">
        <f>SUM(C5:N5)</f>
        <v/>
      </c>
    </row>
    <row r="6">
      <c r="A6" t="inlineStr">
        <is>
          <t>Laboratory</t>
        </is>
      </c>
      <c r="B6" t="inlineStr">
        <is>
          <t>Laboratory supplies and outsourced laboratory invoices (dental lab work)</t>
        </is>
      </c>
      <c r="C6" s="2" t="n">
        <v>36714.61</v>
      </c>
      <c r="D6" s="2" t="n">
        <v>38735.49</v>
      </c>
      <c r="E6" s="2" t="n">
        <v>45894.03</v>
      </c>
      <c r="F6" s="2" t="n">
        <v>37369.82</v>
      </c>
      <c r="G6" s="2" t="n">
        <v>34482.77</v>
      </c>
      <c r="H6" s="2" t="n">
        <v>46818.55</v>
      </c>
      <c r="I6" s="2" t="n">
        <v>33723.96</v>
      </c>
      <c r="J6" s="2" t="n">
        <v>38221.46</v>
      </c>
      <c r="K6" s="2" t="n">
        <v>36545.53</v>
      </c>
      <c r="L6" s="2" t="n">
        <v>40117.14</v>
      </c>
      <c r="M6" s="2" t="n">
        <v>35028.28</v>
      </c>
      <c r="N6" s="2" t="n">
        <v>47446.7</v>
      </c>
      <c r="O6" s="3">
        <f>SUM(C6:N6)</f>
        <v/>
      </c>
    </row>
    <row r="7">
      <c r="A7" t="inlineStr">
        <is>
          <t>Imaging</t>
        </is>
      </c>
      <c r="B7" t="inlineStr">
        <is>
          <t>Imaging supplies (films, sensors, contrast) and outsourced imaging invoices</t>
        </is>
      </c>
      <c r="C7" s="2" t="n">
        <v>13076.44</v>
      </c>
      <c r="D7" s="2" t="n">
        <v>13796.2</v>
      </c>
      <c r="E7" s="2" t="n">
        <v>16345.82</v>
      </c>
      <c r="F7" s="2" t="n">
        <v>13309.8</v>
      </c>
      <c r="G7" s="2" t="n">
        <v>12281.53</v>
      </c>
      <c r="H7" s="2" t="n">
        <v>16675.1</v>
      </c>
      <c r="I7" s="2" t="n">
        <v>12011.27</v>
      </c>
      <c r="J7" s="2" t="n">
        <v>13613.12</v>
      </c>
      <c r="K7" s="2" t="n">
        <v>13016.22</v>
      </c>
      <c r="L7" s="2" t="n">
        <v>14288.3</v>
      </c>
      <c r="M7" s="2" t="n">
        <v>12475.83</v>
      </c>
      <c r="N7" s="2" t="n">
        <v>16898.83</v>
      </c>
      <c r="O7" s="3">
        <f>SUM(C7:N7)</f>
        <v/>
      </c>
    </row>
    <row r="8">
      <c r="A8" t="inlineStr">
        <is>
          <t>Pharmacy</t>
        </is>
      </c>
      <c r="B8" t="inlineStr">
        <is>
          <t>Drugs, anaesthetics and pharmacy services</t>
        </is>
      </c>
      <c r="C8" s="2" t="n">
        <v>16597.01</v>
      </c>
      <c r="D8" s="2" t="n">
        <v>17510.56</v>
      </c>
      <c r="E8" s="2" t="n">
        <v>20746.61</v>
      </c>
      <c r="F8" s="2" t="n">
        <v>16893.2</v>
      </c>
      <c r="G8" s="2" t="n">
        <v>15588.1</v>
      </c>
      <c r="H8" s="2" t="n">
        <v>21164.55</v>
      </c>
      <c r="I8" s="2" t="n">
        <v>15245.08</v>
      </c>
      <c r="J8" s="2" t="n">
        <v>17278.19</v>
      </c>
      <c r="K8" s="2" t="n">
        <v>16520.58</v>
      </c>
      <c r="L8" s="2" t="n">
        <v>18135.15</v>
      </c>
      <c r="M8" s="2" t="n">
        <v>15834.7</v>
      </c>
      <c r="N8" s="2" t="n">
        <v>21448.51</v>
      </c>
      <c r="O8" s="3">
        <f>SUM(C8:N8)</f>
        <v/>
      </c>
    </row>
    <row r="9">
      <c r="A9" t="inlineStr">
        <is>
          <t>Prostheses</t>
        </is>
      </c>
      <c r="B9" t="inlineStr">
        <is>
          <t>Implants, crowns, dentures and other implantable devices</t>
        </is>
      </c>
      <c r="C9" s="2" t="n">
        <v>17099.95</v>
      </c>
      <c r="D9" s="2" t="n">
        <v>18041.19</v>
      </c>
      <c r="E9" s="2" t="n">
        <v>21375.3</v>
      </c>
      <c r="F9" s="2" t="n">
        <v>17405.12</v>
      </c>
      <c r="G9" s="2" t="n">
        <v>16060.47</v>
      </c>
      <c r="H9" s="2" t="n">
        <v>21805.9</v>
      </c>
      <c r="I9" s="2" t="n">
        <v>15707.05</v>
      </c>
      <c r="J9" s="2" t="n">
        <v>17801.78</v>
      </c>
      <c r="K9" s="2" t="n">
        <v>17021.21</v>
      </c>
      <c r="L9" s="2" t="n">
        <v>18684.7</v>
      </c>
      <c r="M9" s="2" t="n">
        <v>16314.54</v>
      </c>
      <c r="N9" s="2" t="n">
        <v>22098.47</v>
      </c>
      <c r="O9" s="3">
        <f>SUM(C9:N9)</f>
        <v/>
      </c>
    </row>
    <row r="10">
      <c r="A10" t="inlineStr">
        <is>
          <t>MS</t>
        </is>
      </c>
      <c r="B10" t="inlineStr">
        <is>
          <t>All other medical, surgical and dental supplies</t>
        </is>
      </c>
      <c r="C10" s="2" t="n">
        <v>86505.64999999999</v>
      </c>
      <c r="D10" s="2" t="n">
        <v>91267.19</v>
      </c>
      <c r="E10" s="2" t="n">
        <v>108133.87</v>
      </c>
      <c r="F10" s="2" t="n">
        <v>88049.42999999999</v>
      </c>
      <c r="G10" s="2" t="n">
        <v>81247.06</v>
      </c>
      <c r="H10" s="2" t="n">
        <v>110312.21</v>
      </c>
      <c r="I10" s="2" t="n">
        <v>79459.2</v>
      </c>
      <c r="J10" s="2" t="n">
        <v>90056.05</v>
      </c>
      <c r="K10" s="2" t="n">
        <v>86107.28</v>
      </c>
      <c r="L10" s="2" t="n">
        <v>94522.59</v>
      </c>
      <c r="M10" s="2" t="n">
        <v>82532.39</v>
      </c>
      <c r="N10" s="2" t="n">
        <v>111792.24</v>
      </c>
      <c r="O10" s="3">
        <f>SUM(C10:N10)</f>
        <v/>
      </c>
    </row>
    <row r="11">
      <c r="A11" t="inlineStr">
        <is>
          <t>Hotel</t>
        </is>
      </c>
      <c r="B11" t="inlineStr">
        <is>
          <t>Cleaning products/services, linen and laundry, patient food</t>
        </is>
      </c>
      <c r="C11" s="2" t="n">
        <v>4023.52</v>
      </c>
      <c r="D11" s="2" t="n">
        <v>4244.99</v>
      </c>
      <c r="E11" s="2" t="n">
        <v>5029.48</v>
      </c>
      <c r="F11" s="2" t="n">
        <v>4095.32</v>
      </c>
      <c r="G11" s="2" t="n">
        <v>3778.93</v>
      </c>
      <c r="H11" s="2" t="n">
        <v>5130.8</v>
      </c>
      <c r="I11" s="2" t="n">
        <v>3695.78</v>
      </c>
      <c r="J11" s="2" t="n">
        <v>4188.65</v>
      </c>
      <c r="K11" s="2" t="n">
        <v>4004.99</v>
      </c>
      <c r="L11" s="2" t="n">
        <v>4396.4</v>
      </c>
      <c r="M11" s="2" t="n">
        <v>3838.72</v>
      </c>
      <c r="N11" s="2" t="n">
        <v>5199.64</v>
      </c>
      <c r="O11" s="3">
        <f>SUM(C11:N11)</f>
        <v/>
      </c>
    </row>
    <row r="12">
      <c r="A12" t="inlineStr">
        <is>
          <t>GS</t>
        </is>
      </c>
      <c r="B12" t="inlineStr">
        <is>
          <t>All other goods and services recorded in DIRECT cost centres (e.g. rent, utilities, security if booked to the clinic rooms)</t>
        </is>
      </c>
      <c r="C12" s="2" t="n">
        <v>5029.4</v>
      </c>
      <c r="D12" s="2" t="n">
        <v>5306.23</v>
      </c>
      <c r="E12" s="2" t="n">
        <v>6286.85</v>
      </c>
      <c r="F12" s="2" t="n">
        <v>5119.15</v>
      </c>
      <c r="G12" s="2" t="n">
        <v>4723.67</v>
      </c>
      <c r="H12" s="2" t="n">
        <v>6413.5</v>
      </c>
      <c r="I12" s="2" t="n">
        <v>4619.72</v>
      </c>
      <c r="J12" s="2" t="n">
        <v>5235.82</v>
      </c>
      <c r="K12" s="2" t="n">
        <v>5006.24</v>
      </c>
      <c r="L12" s="2" t="n">
        <v>5495.5</v>
      </c>
      <c r="M12" s="2" t="n">
        <v>4798.39</v>
      </c>
      <c r="N12" s="2" t="n">
        <v>6499.55</v>
      </c>
      <c r="O12" s="3">
        <f>SUM(C12:N12)</f>
        <v/>
      </c>
    </row>
    <row r="13">
      <c r="A13" t="inlineStr">
        <is>
          <t>Depreciation</t>
        </is>
      </c>
      <c r="B13" t="inlineStr">
        <is>
          <t>Depreciation and amortisation recorded in DIRECT cost centres (dental chairs, imaging units)</t>
        </is>
      </c>
      <c r="C13" s="2" t="n">
        <v>8549.98</v>
      </c>
      <c r="D13" s="2" t="n">
        <v>9020.59</v>
      </c>
      <c r="E13" s="2" t="n">
        <v>10687.65</v>
      </c>
      <c r="F13" s="2" t="n">
        <v>8702.559999999999</v>
      </c>
      <c r="G13" s="2" t="n">
        <v>8030.23</v>
      </c>
      <c r="H13" s="2" t="n">
        <v>10902.95</v>
      </c>
      <c r="I13" s="2" t="n">
        <v>7853.53</v>
      </c>
      <c r="J13" s="2" t="n">
        <v>8900.889999999999</v>
      </c>
      <c r="K13" s="2" t="n">
        <v>8510.6</v>
      </c>
      <c r="L13" s="2" t="n">
        <v>9342.35</v>
      </c>
      <c r="M13" s="2" t="n">
        <v>8157.27</v>
      </c>
      <c r="N13" s="2" t="n">
        <v>11049.23</v>
      </c>
      <c r="O13" s="3">
        <f>SUM(C13:N13)</f>
        <v/>
      </c>
    </row>
    <row r="14">
      <c r="A14" t="inlineStr">
        <is>
          <t>OHF</t>
        </is>
      </c>
      <c r="B14" t="inlineStr">
        <is>
          <t>ALL expenses of OVERHEAD cost centres except depreciation: administration, reception/front office, management, HR, finance, IT, marketing, facility rent/utilities/maintenance booked to overhead centres</t>
        </is>
      </c>
      <c r="C14" s="2" t="n">
        <v>115623.45</v>
      </c>
      <c r="D14" s="2" t="n">
        <v>115623.45</v>
      </c>
      <c r="E14" s="2" t="n">
        <v>115623.45</v>
      </c>
      <c r="F14" s="2" t="n">
        <v>115623.45</v>
      </c>
      <c r="G14" s="2" t="n">
        <v>115623.45</v>
      </c>
      <c r="H14" s="2" t="n">
        <v>115623.45</v>
      </c>
      <c r="I14" s="2" t="n">
        <v>115623.45</v>
      </c>
      <c r="J14" s="2" t="n">
        <v>115623.45</v>
      </c>
      <c r="K14" s="2" t="n">
        <v>115623.45</v>
      </c>
      <c r="L14" s="2" t="n">
        <v>115623.45</v>
      </c>
      <c r="M14" s="2" t="n">
        <v>115623.45</v>
      </c>
      <c r="N14" s="2" t="n">
        <v>115623.45</v>
      </c>
      <c r="O14" s="3">
        <f>SUM(C14:N14)</f>
        <v/>
      </c>
    </row>
    <row r="15">
      <c r="A15" t="inlineStr">
        <is>
          <t>OHDepreciation</t>
        </is>
      </c>
      <c r="B15" t="inlineStr">
        <is>
          <t>Depreciation and amortisation recorded in OVERHEAD cost centres</t>
        </is>
      </c>
      <c r="C15" s="2" t="n">
        <v>6991.19</v>
      </c>
      <c r="D15" s="2" t="n">
        <v>6991.19</v>
      </c>
      <c r="E15" s="2" t="n">
        <v>6991.19</v>
      </c>
      <c r="F15" s="2" t="n">
        <v>6991.19</v>
      </c>
      <c r="G15" s="2" t="n">
        <v>6991.19</v>
      </c>
      <c r="H15" s="2" t="n">
        <v>6991.19</v>
      </c>
      <c r="I15" s="2" t="n">
        <v>6991.19</v>
      </c>
      <c r="J15" s="2" t="n">
        <v>6991.19</v>
      </c>
      <c r="K15" s="2" t="n">
        <v>6991.19</v>
      </c>
      <c r="L15" s="2" t="n">
        <v>6991.19</v>
      </c>
      <c r="M15" s="2" t="n">
        <v>6991.19</v>
      </c>
      <c r="N15" s="2" t="n">
        <v>6991.19</v>
      </c>
      <c r="O15" s="3">
        <f>SUM(C15:N15)</f>
        <v/>
      </c>
    </row>
    <row r="16">
      <c r="A16" t="inlineStr">
        <is>
          <t>OHC</t>
        </is>
      </c>
      <c r="B16" t="inlineStr">
        <is>
          <t>Overheads charged by a corporate office / shared services (group fees, head-office recharges)</t>
        </is>
      </c>
      <c r="C16" s="2" t="n">
        <v>6453.4</v>
      </c>
      <c r="D16" s="2" t="n">
        <v>6453.4</v>
      </c>
      <c r="E16" s="2" t="n">
        <v>6453.4</v>
      </c>
      <c r="F16" s="2" t="n">
        <v>6453.4</v>
      </c>
      <c r="G16" s="2" t="n">
        <v>6453.4</v>
      </c>
      <c r="H16" s="2" t="n">
        <v>6453.4</v>
      </c>
      <c r="I16" s="2" t="n">
        <v>6453.4</v>
      </c>
      <c r="J16" s="2" t="n">
        <v>6453.4</v>
      </c>
      <c r="K16" s="2" t="n">
        <v>6453.4</v>
      </c>
      <c r="L16" s="2" t="n">
        <v>6453.4</v>
      </c>
      <c r="M16" s="2" t="n">
        <v>6453.4</v>
      </c>
      <c r="N16" s="2" t="n">
        <v>6453.4</v>
      </c>
      <c r="O16" s="3">
        <f>SUM(C16:N16)</f>
        <v/>
      </c>
    </row>
    <row r="17">
      <c r="A17" t="inlineStr">
        <is>
          <t>NABMs</t>
        </is>
      </c>
      <c r="B17" t="inlineStr">
        <is>
          <t>Non-activity based mandate funding by DOH, reported as negative cost (normally 0 for a private clinic)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3">
        <f>SUM(C17:N17)</f>
        <v/>
      </c>
    </row>
    <row r="18"/>
    <row r="19">
      <c r="A19" s="4" t="inlineStr">
        <is>
          <t>Total entered</t>
        </is>
      </c>
      <c r="B19" s="4" t="inlineStr"/>
      <c r="C19" s="5">
        <f>SUM(C2:C17)</f>
        <v/>
      </c>
      <c r="D19" s="5">
        <f>SUM(D2:D17)</f>
        <v/>
      </c>
      <c r="E19" s="5">
        <f>SUM(E2:E17)</f>
        <v/>
      </c>
      <c r="F19" s="5">
        <f>SUM(F2:F17)</f>
        <v/>
      </c>
      <c r="G19" s="5">
        <f>SUM(G2:G17)</f>
        <v/>
      </c>
      <c r="H19" s="5">
        <f>SUM(H2:H17)</f>
        <v/>
      </c>
      <c r="I19" s="5">
        <f>SUM(I2:I17)</f>
        <v/>
      </c>
      <c r="J19" s="5">
        <f>SUM(J2:J17)</f>
        <v/>
      </c>
      <c r="K19" s="5">
        <f>SUM(K2:K17)</f>
        <v/>
      </c>
      <c r="L19" s="5">
        <f>SUM(L2:L17)</f>
        <v/>
      </c>
      <c r="M19" s="5">
        <f>SUM(M2:M17)</f>
        <v/>
      </c>
      <c r="N19" s="5">
        <f>SUM(N2:N17)</f>
        <v/>
      </c>
      <c r="O19" s="5">
        <f>SUM(O2:O17)</f>
        <v/>
      </c>
    </row>
    <row r="20">
      <c r="A20" s="4" t="inlineStr">
        <is>
          <t>Ledger (Arjun, locked)</t>
        </is>
      </c>
      <c r="B20" s="4" t="inlineStr"/>
      <c r="C20" s="5" t="n">
        <v>511302.3</v>
      </c>
      <c r="D20" s="5" t="n">
        <v>532341.65</v>
      </c>
      <c r="E20" s="5" t="n">
        <v>606868.87</v>
      </c>
      <c r="F20" s="5" t="n">
        <v>518123.67</v>
      </c>
      <c r="G20" s="5" t="n">
        <v>488066.69</v>
      </c>
      <c r="H20" s="5" t="n">
        <v>616494.09</v>
      </c>
      <c r="I20" s="5" t="n">
        <v>480166.82</v>
      </c>
      <c r="J20" s="5" t="n">
        <v>526990.1</v>
      </c>
      <c r="K20" s="5" t="n">
        <v>509542.05</v>
      </c>
      <c r="L20" s="5" t="n">
        <v>546725.98</v>
      </c>
      <c r="M20" s="5" t="n">
        <v>493746.03</v>
      </c>
      <c r="N20" s="5" t="n">
        <v>623033.73</v>
      </c>
      <c r="O20" s="5" t="n">
        <v>6453401.98</v>
      </c>
    </row>
    <row r="21">
      <c r="A21" s="4" t="inlineStr">
        <is>
          <t>Difference (must be 0.00)</t>
        </is>
      </c>
      <c r="B21" s="4" t="inlineStr"/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  <c r="H21" s="5">
        <f>H19-H20</f>
        <v/>
      </c>
      <c r="I21" s="5">
        <f>I19-I20</f>
        <v/>
      </c>
      <c r="J21" s="5">
        <f>J19-J20</f>
        <v/>
      </c>
      <c r="K21" s="5">
        <f>K19-K20</f>
        <v/>
      </c>
      <c r="L21" s="5">
        <f>L19-L20</f>
        <v/>
      </c>
      <c r="M21" s="5">
        <f>M19-M20</f>
        <v/>
      </c>
      <c r="N21" s="5">
        <f>N19-N20</f>
        <v/>
      </c>
      <c r="O21" s="5">
        <f>O19-O20</f>
        <v/>
      </c>
    </row>
    <row r="22"/>
    <row r="23">
      <c r="A23" s="4" t="inlineStr">
        <is>
          <t>Overhead ratio (OHF+OHDepreciation+OHC) / total</t>
        </is>
      </c>
      <c r="B23" s="4" t="inlineStr"/>
      <c r="C23" s="6">
        <f>IFERROR((C14+C15+C16)/C19,0)</f>
        <v/>
      </c>
      <c r="D23" s="6">
        <f>IFERROR((D14+D15+D16)/D19,0)</f>
        <v/>
      </c>
      <c r="E23" s="6">
        <f>IFERROR((E14+E15+E16)/E19,0)</f>
        <v/>
      </c>
      <c r="F23" s="6">
        <f>IFERROR((F14+F15+F16)/F19,0)</f>
        <v/>
      </c>
      <c r="G23" s="6">
        <f>IFERROR((G14+G15+G16)/G19,0)</f>
        <v/>
      </c>
      <c r="H23" s="6">
        <f>IFERROR((H14+H15+H16)/H19,0)</f>
        <v/>
      </c>
      <c r="I23" s="6">
        <f>IFERROR((I14+I15+I16)/I19,0)</f>
        <v/>
      </c>
      <c r="J23" s="6">
        <f>IFERROR((J14+J15+J16)/J19,0)</f>
        <v/>
      </c>
      <c r="K23" s="6">
        <f>IFERROR((K14+K15+K16)/K19,0)</f>
        <v/>
      </c>
      <c r="L23" s="6">
        <f>IFERROR((L14+L15+L16)/L19,0)</f>
        <v/>
      </c>
      <c r="M23" s="6">
        <f>IFERROR((M14+M15+M16)/M19,0)</f>
        <v/>
      </c>
      <c r="N23" s="6">
        <f>IFERROR((N14+N15+N16)/N19,0)</f>
        <v/>
      </c>
      <c r="O23" s="6">
        <f>IFERROR((O14+O15+O16)/O19,0)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90" customWidth="1" min="4" max="4"/>
  </cols>
  <sheetData>
    <row r="1">
      <c r="A1" s="4" t="inlineStr">
        <is>
          <t>PROPOSED mapping — assumptions for Arjun to confirm or replace</t>
        </is>
      </c>
    </row>
    <row r="2">
      <c r="A2" t="inlineStr">
        <is>
          <t>This sheet is a PROPOSAL built without the FY2025 expense lines. Arjun must confirm or replace every figure from the general ledger.</t>
        </is>
      </c>
    </row>
    <row r="3">
      <c r="A3" t="inlineStr"/>
    </row>
    <row r="4">
      <c r="A4" t="inlineStr">
        <is>
          <t>A1. Overheads (OHF + OHDepreciation + OHC) = 24.0 % of FY2025 expenditure = AED 1,548,816.48, treated as a FIXED amount per month (129,068.04).</t>
        </is>
      </c>
    </row>
    <row r="5">
      <c r="A5" t="inlineStr">
        <is>
          <t xml:space="preserve">    Rationale: rent and service charges for the premises (~11-12 %), reception/admin/management salaries (~6 %), utilities, maintenance,</t>
        </is>
      </c>
    </row>
    <row r="6">
      <c r="A6" t="inlineStr">
        <is>
          <t xml:space="preserve">    security, insurance, marketing, IT and professional fees (~4-5 %). The rejected files carried 4.2 %, which DOH flagged as unusually low.</t>
        </is>
      </c>
    </row>
    <row r="7">
      <c r="A7" t="inlineStr">
        <is>
          <t xml:space="preserve">    Overheads are fixed per month, so busy months show a lower ratio; 24 % keeps every month at or above the DOH floor of 20 %.</t>
        </is>
      </c>
    </row>
    <row r="8">
      <c r="A8" t="inlineStr">
        <is>
          <t>A2. Front office, administration and management staff are an OVERHEAD cost centre (Standard App. 1: SWNonClin is only for non-clinical staff</t>
        </is>
      </c>
    </row>
    <row r="9">
      <c r="A9" t="inlineStr">
        <is>
          <t xml:space="preserve">    recorded in DIRECT cost centres). Their pay is moved from SWNonClin to OHF; 1.0 % stays as SWNonClin for clinic clerks/chairside non-clinical staff.</t>
        </is>
      </c>
    </row>
    <row r="10">
      <c r="A10" t="inlineStr">
        <is>
          <t>A3. Premises costs are an OVERHEAD (facility) cost centre allocated to the Dental bucket by floor space, so they are OHF, not GS.</t>
        </is>
      </c>
    </row>
    <row r="11">
      <c r="A11" t="inlineStr">
        <is>
          <t>A3b. Laboratory, Prostheses and Imaging cost types are set equal to the clinic's own costed buckets (outsourced lab 469k, prostheses 217k, imaging 169k).</t>
        </is>
      </c>
    </row>
    <row r="12">
      <c r="A12" t="inlineStr">
        <is>
          <t>A4. Depreciation: dental chairs and imaging units are DIRECT (1.5 %); fit-out, furniture and IT are OVERHEAD (OHDepreciation 1.2 %).</t>
        </is>
      </c>
    </row>
    <row r="13">
      <c r="A13" t="inlineStr">
        <is>
          <t>A5. OHC 1.2 % is kept close to the implied 1.1 % by the costed files (group / shared-service recharges). Set to 0 if Vision Dental has no corporate office.</t>
        </is>
      </c>
    </row>
    <row r="14">
      <c r="A14" t="inlineStr">
        <is>
          <t>A6. The direct block (76.0 %) keeps the proportions of the clinic's own allocation table, scaled down uniformly: the scale factor in the</t>
        </is>
      </c>
    </row>
    <row r="15">
      <c r="A15" t="inlineStr">
        <is>
          <t xml:space="preserve">    original build spread the overhead money across the direct columns, so pulling it out proportionally reverses that exactly.</t>
        </is>
      </c>
    </row>
    <row r="16">
      <c r="A16" t="inlineStr">
        <is>
          <t>A7. Same direct mix every month (no monthly expense detail available). Overheads fixed; direct types take the rest of each month's ledger.</t>
        </is>
      </c>
    </row>
    <row r="17">
      <c r="A17" t="inlineStr">
        <is>
          <t>A8. Every month reconciles to the locked ledger to the fils (SWDoc absorbs rounding). FY2025 total 6,453,401.98.</t>
        </is>
      </c>
    </row>
    <row r="18">
      <c r="A18" t="inlineStr">
        <is>
          <t>A9. NABMs = 0 (no DOH non-activity mandate funding for a private clinic). Accrual basis assumed as in the locked ledger.</t>
        </is>
      </c>
    </row>
    <row r="19">
      <c r="A19" t="inlineStr"/>
    </row>
    <row r="20">
      <c r="A20" t="inlineStr">
        <is>
          <t>What this proposal CANNOT establish without the ledger lines: the actual rent and service charge; actual admin/management payroll;</t>
        </is>
      </c>
    </row>
    <row r="21">
      <c r="A21" t="inlineStr">
        <is>
          <t>whether a corporate office exists (OHC); month-to-month movements (bonuses, annual licence fees, year-end depreciation);</t>
        </is>
      </c>
    </row>
    <row r="22">
      <c r="A22" t="inlineStr">
        <is>
          <t>third-party expenses not in the GL (Standard 3.1.2). These change the overhead ratio and the cost-type split, not the claim totals.</t>
        </is>
      </c>
    </row>
    <row r="24">
      <c r="A24" s="1" t="inlineStr">
        <is>
          <t>Proposed mix, % of total</t>
        </is>
      </c>
      <c r="B24" s="1" t="inlineStr">
        <is>
          <t>Share %</t>
        </is>
      </c>
      <c r="C24" s="1" t="inlineStr">
        <is>
          <t>FY2025 AED</t>
        </is>
      </c>
      <c r="D24" s="1" t="inlineStr">
        <is>
          <t>Basis</t>
        </is>
      </c>
    </row>
    <row r="25">
      <c r="A25" t="inlineStr">
        <is>
          <t>SWNurs</t>
        </is>
      </c>
      <c r="B25" t="n">
        <v>9</v>
      </c>
      <c r="C25" t="n">
        <v>580806.1800000001</v>
      </c>
      <c r="D25" t="inlineStr">
        <is>
          <t>dental nurses; implied 11.4 %</t>
        </is>
      </c>
    </row>
    <row r="26">
      <c r="A26" t="inlineStr">
        <is>
          <t>SWDoc</t>
        </is>
      </c>
      <c r="B26" t="n">
        <v>25.5</v>
      </c>
      <c r="C26" t="n">
        <v>1645617.5</v>
      </c>
      <c r="D26" t="inlineStr">
        <is>
          <t>dentists' pay; implied 32.0 % before overheads were pulled out</t>
        </is>
      </c>
    </row>
    <row r="27">
      <c r="A27" t="inlineStr">
        <is>
          <t>SWAllied</t>
        </is>
      </c>
      <c r="B27" t="n">
        <v>3.2</v>
      </c>
      <c r="C27" t="n">
        <v>206508.86</v>
      </c>
      <c r="D27" t="inlineStr">
        <is>
          <t>hygienists, radiographer, lab technician; implied 4.4 %</t>
        </is>
      </c>
    </row>
    <row r="28">
      <c r="A28" t="inlineStr">
        <is>
          <t>SWNonClin</t>
        </is>
      </c>
      <c r="B28" t="n">
        <v>1</v>
      </c>
      <c r="C28" t="n">
        <v>64534.02</v>
      </c>
      <c r="D28" t="inlineStr">
        <is>
          <t>clinic clerks / chairside non-clinical staff in the dental cost centre</t>
        </is>
      </c>
    </row>
    <row r="29">
      <c r="A29" t="inlineStr">
        <is>
          <t>Laboratory</t>
        </is>
      </c>
      <c r="B29" t="n">
        <v>7.3</v>
      </c>
      <c r="C29" t="n">
        <v>471098.34</v>
      </c>
      <c r="D29" t="inlineStr">
        <is>
          <t>outsourced dental laboratory invoices; implied 7.3 %</t>
        </is>
      </c>
    </row>
    <row r="30">
      <c r="A30" t="inlineStr">
        <is>
          <t>Imaging</t>
        </is>
      </c>
      <c r="B30" t="n">
        <v>2.6</v>
      </c>
      <c r="C30" t="n">
        <v>167788.45</v>
      </c>
      <c r="D30" t="inlineStr">
        <is>
          <t>imaging supplies; implied 2.6 %</t>
        </is>
      </c>
    </row>
    <row r="31">
      <c r="A31" t="inlineStr">
        <is>
          <t>Pharmacy</t>
        </is>
      </c>
      <c r="B31" t="n">
        <v>3.3</v>
      </c>
      <c r="C31" t="n">
        <v>212962.27</v>
      </c>
      <c r="D31" t="inlineStr">
        <is>
          <t>anaesthetics and drugs; implied 4.1 %</t>
        </is>
      </c>
    </row>
    <row r="32">
      <c r="A32" t="inlineStr">
        <is>
          <t>Prostheses</t>
        </is>
      </c>
      <c r="B32" t="n">
        <v>3.4</v>
      </c>
      <c r="C32" t="n">
        <v>219415.67</v>
      </c>
      <c r="D32" t="inlineStr">
        <is>
          <t>crowns, dentures, implants; implied 3.4 %</t>
        </is>
      </c>
    </row>
    <row r="33">
      <c r="A33" t="inlineStr">
        <is>
          <t>MS</t>
        </is>
      </c>
      <c r="B33" t="n">
        <v>17.2</v>
      </c>
      <c r="C33" t="n">
        <v>1109985.14</v>
      </c>
      <c r="D33" t="inlineStr">
        <is>
          <t>dental and surgical consumables; implied 18.1 % + 5.3 %</t>
        </is>
      </c>
    </row>
    <row r="34">
      <c r="A34" t="inlineStr">
        <is>
          <t>Hotel</t>
        </is>
      </c>
      <c r="B34" t="n">
        <v>0.8</v>
      </c>
      <c r="C34" t="n">
        <v>51627.22</v>
      </c>
      <c r="D34" t="inlineStr">
        <is>
          <t>cleaning, linen, sterilisation wraps</t>
        </is>
      </c>
    </row>
    <row r="35">
      <c r="A35" t="inlineStr">
        <is>
          <t>GS</t>
        </is>
      </c>
      <c r="B35" t="n">
        <v>1</v>
      </c>
      <c r="C35" t="n">
        <v>64534.02</v>
      </c>
      <c r="D35" t="inlineStr">
        <is>
          <t>other goods and services in the clinic rooms</t>
        </is>
      </c>
    </row>
    <row r="36">
      <c r="A36" t="inlineStr">
        <is>
          <t>Depreciation</t>
        </is>
      </c>
      <c r="B36" t="n">
        <v>1.7</v>
      </c>
      <c r="C36" t="n">
        <v>109707.83</v>
      </c>
      <c r="D36" t="inlineStr">
        <is>
          <t>dental chairs, imaging units; implied 2.0 %</t>
        </is>
      </c>
    </row>
    <row r="37">
      <c r="A37" t="inlineStr">
        <is>
          <t>OHF</t>
        </is>
      </c>
      <c r="B37" t="n">
        <v>21.5</v>
      </c>
      <c r="C37" t="n">
        <v>1387481.43</v>
      </c>
      <c r="D37" t="inlineStr">
        <is>
          <t>premises, admin/management pay, marketing, IT, insurance, professional fees</t>
        </is>
      </c>
    </row>
    <row r="38">
      <c r="A38" t="inlineStr">
        <is>
          <t>OHDepreciation</t>
        </is>
      </c>
      <c r="B38" t="n">
        <v>1.3</v>
      </c>
      <c r="C38" t="n">
        <v>83894.23</v>
      </c>
      <c r="D38" t="inlineStr">
        <is>
          <t>fit-out, furniture, IT depreciation</t>
        </is>
      </c>
    </row>
    <row r="39">
      <c r="A39" t="inlineStr">
        <is>
          <t>OHC</t>
        </is>
      </c>
      <c r="B39" t="n">
        <v>1.2</v>
      </c>
      <c r="C39" t="n">
        <v>77440.82000000001</v>
      </c>
      <c r="D39" t="inlineStr">
        <is>
          <t>group recharges; close to implied (1.1 %)</t>
        </is>
      </c>
    </row>
    <row r="40">
      <c r="A40" t="inlineStr">
        <is>
          <t>NABMs</t>
        </is>
      </c>
      <c r="B40" t="n">
        <v>0</v>
      </c>
      <c r="C40" t="n">
        <v>0</v>
      </c>
      <c r="D40" t="inlineStr">
        <is>
          <t>none</t>
        </is>
      </c>
    </row>
    <row r="41">
      <c r="A41" t="inlineStr">
        <is>
          <t>Overhead ratio</t>
        </is>
      </c>
      <c r="B41" t="n">
        <v>24</v>
      </c>
      <c r="C41" t="n">
        <v>1548816.48</v>
      </c>
      <c r="D41" t="inlineStr">
        <is>
          <t>DOH band: 20 % to under 50 %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Purpose: map every FY2025 expense line to one of the sixteen DOH cost types, by month, so the cost submission can be</t>
        </is>
      </c>
    </row>
    <row r="2">
      <c r="A2" t="inlineStr">
        <is>
          <t>re-expressed with cost buckets and cost types that both equal the ledger (DOH SY02 rejection: Cost Bucket / Cost Type Match).</t>
        </is>
      </c>
    </row>
    <row r="3"/>
    <row r="4">
      <c r="A4" t="inlineStr">
        <is>
          <t>1. Start from the same monthly ledger that gave the locked figures (row 'Ledger (Arjun, locked)'). Every month must reconcile to 0.00.</t>
        </is>
      </c>
    </row>
    <row r="5">
      <c r="A5" t="inlineStr">
        <is>
          <t>2. First classify each cost centre as DIRECT (treats patients: dental surgeries, imaging room) or OVERHEAD (administration, reception/front office,</t>
        </is>
      </c>
    </row>
    <row r="6">
      <c r="A6" t="inlineStr">
        <is>
          <t xml:space="preserve">   management, HR, finance, IT, marketing, facility services, head office).</t>
        </is>
      </c>
    </row>
    <row r="7">
      <c r="A7" t="inlineStr">
        <is>
          <t>3. Expenses of OVERHEAD cost centres go to OHF (or OHDepreciation for their depreciation, OHC if charged by a corporate office).</t>
        </is>
      </c>
    </row>
    <row r="8">
      <c r="A8" t="inlineStr">
        <is>
          <t xml:space="preserve">   Expenses of DIRECT cost centres go to the direct cost types by their nature (salaries by staff category, supplies, depreciation, GS).</t>
        </is>
      </c>
    </row>
    <row r="9">
      <c r="A9" t="inlineStr">
        <is>
          <t>4. Rent, utilities, maintenance and security: if the premises are booked to an overhead cost centre, they are OHF; if booked to the clinic rooms, GS.</t>
        </is>
      </c>
    </row>
    <row r="10">
      <c r="A10" t="inlineStr">
        <is>
          <t>5. Outsourced dental laboratory invoices are Laboratory; crowns/dentures/implants are Prostheses; anaesthetics and drugs are Pharmacy.</t>
        </is>
      </c>
    </row>
    <row r="11">
      <c r="A11" t="inlineStr">
        <is>
          <t>6. Use accrual figures (Standard 3.1.3). Exclude balance-sheet items. Include third-party expenses not in the GL if relevant (3.1.2).</t>
        </is>
      </c>
    </row>
    <row r="12">
      <c r="A12" t="inlineStr">
        <is>
          <t>7. The 'Current implied' sheet shows what the rejected files implied per cost type. It is for comparison only; do not copy it.</t>
        </is>
      </c>
    </row>
    <row r="13">
      <c r="A13" t="inlineStr">
        <is>
          <t>8. DOH expects the overhead ratio between 20% and under 50%; below 20% draws a warning. Report what the ledger says.</t>
        </is>
      </c>
    </row>
    <row r="14"/>
    <row r="15">
      <c r="A15" t="inlineStr">
        <is>
          <t>Return this file as input/Ledger_by_Cost_Type_FY2025.xlsx. The two-margin engine (scripts/rebalance_two_view.py) reads 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Cost type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FY2025 total</t>
        </is>
      </c>
      <c r="O1" s="1" t="inlineStr">
        <is>
          <t>Share</t>
        </is>
      </c>
    </row>
    <row r="2">
      <c r="A2" t="inlineStr">
        <is>
          <t>SWNurs</t>
        </is>
      </c>
      <c r="B2" s="7" t="n">
        <v>55736.67</v>
      </c>
      <c r="C2" s="7" t="n">
        <v>60506.604</v>
      </c>
      <c r="D2" s="7" t="n">
        <v>68913.474</v>
      </c>
      <c r="E2" s="7" t="n">
        <v>57524.405</v>
      </c>
      <c r="F2" s="7" t="n">
        <v>58313.543</v>
      </c>
      <c r="G2" s="7" t="n">
        <v>73130.595</v>
      </c>
      <c r="H2" s="7" t="n">
        <v>54158.436</v>
      </c>
      <c r="I2" s="7" t="n">
        <v>58192.573</v>
      </c>
      <c r="J2" s="7" t="n">
        <v>59803.285</v>
      </c>
      <c r="K2" s="7" t="n">
        <v>62476.192</v>
      </c>
      <c r="L2" s="7" t="n">
        <v>56723.65</v>
      </c>
      <c r="M2" s="7" t="n">
        <v>67721.814</v>
      </c>
      <c r="N2" s="7" t="n">
        <v>733201.241</v>
      </c>
      <c r="O2" s="8" t="n">
        <v>0.1761135619697248</v>
      </c>
    </row>
    <row r="3">
      <c r="A3" t="inlineStr">
        <is>
          <t>SWDoc</t>
        </is>
      </c>
      <c r="B3" s="7" t="n">
        <v>156702.002</v>
      </c>
      <c r="C3" s="7" t="n">
        <v>171621.546</v>
      </c>
      <c r="D3" s="7" t="n">
        <v>192980.282</v>
      </c>
      <c r="E3" s="7" t="n">
        <v>165105.147</v>
      </c>
      <c r="F3" s="7" t="n">
        <v>163130.336</v>
      </c>
      <c r="G3" s="7" t="n">
        <v>206870.954</v>
      </c>
      <c r="H3" s="7" t="n">
        <v>152430.262</v>
      </c>
      <c r="I3" s="7" t="n">
        <v>163691.845</v>
      </c>
      <c r="J3" s="7" t="n">
        <v>168519.31</v>
      </c>
      <c r="K3" s="7" t="n">
        <v>176797.824</v>
      </c>
      <c r="L3" s="7" t="n">
        <v>155782.924</v>
      </c>
      <c r="M3" s="7" t="n">
        <v>190270.905</v>
      </c>
      <c r="N3" s="7" t="n">
        <v>2063903.337</v>
      </c>
      <c r="O3" s="8" t="n">
        <v>0.4957457078830439</v>
      </c>
    </row>
    <row r="4">
      <c r="A4" t="inlineStr">
        <is>
          <t>SWAllied</t>
        </is>
      </c>
      <c r="B4" s="7" t="n">
        <v>22872.146</v>
      </c>
      <c r="C4" s="7" t="n">
        <v>23409.751</v>
      </c>
      <c r="D4" s="7" t="n">
        <v>26350.826</v>
      </c>
      <c r="E4" s="7" t="n">
        <v>22972.612</v>
      </c>
      <c r="F4" s="7" t="n">
        <v>21172.484</v>
      </c>
      <c r="G4" s="7" t="n">
        <v>26981.679</v>
      </c>
      <c r="H4" s="7" t="n">
        <v>21075.289</v>
      </c>
      <c r="I4" s="7" t="n">
        <v>22809.501</v>
      </c>
      <c r="J4" s="7" t="n">
        <v>22510.652</v>
      </c>
      <c r="K4" s="7" t="n">
        <v>24113.06</v>
      </c>
      <c r="L4" s="7" t="n">
        <v>22314.39</v>
      </c>
      <c r="M4" s="7" t="n">
        <v>27360.159</v>
      </c>
      <c r="N4" s="7" t="n">
        <v>283942.549</v>
      </c>
      <c r="O4" s="8" t="n">
        <v>0.06820246734846036</v>
      </c>
    </row>
    <row r="5">
      <c r="A5" t="inlineStr">
        <is>
          <t>SWNonClin</t>
        </is>
      </c>
      <c r="B5" s="7" t="n">
        <v>27165.255</v>
      </c>
      <c r="C5" s="7" t="n">
        <v>28086</v>
      </c>
      <c r="D5" s="7" t="n">
        <v>31716.946</v>
      </c>
      <c r="E5" s="7" t="n">
        <v>26955.661</v>
      </c>
      <c r="F5" s="7" t="n">
        <v>25667.68</v>
      </c>
      <c r="G5" s="7" t="n">
        <v>32446.122</v>
      </c>
      <c r="H5" s="7" t="n">
        <v>25220.706</v>
      </c>
      <c r="I5" s="7" t="n">
        <v>27544.267</v>
      </c>
      <c r="J5" s="7" t="n">
        <v>26764.557</v>
      </c>
      <c r="K5" s="7" t="n">
        <v>28656.819</v>
      </c>
      <c r="L5" s="7" t="n">
        <v>26604.39</v>
      </c>
      <c r="M5" s="7" t="n">
        <v>33235.524</v>
      </c>
      <c r="N5" s="7" t="n">
        <v>340063.927</v>
      </c>
      <c r="O5" s="8" t="n">
        <v>0.0816827170119076</v>
      </c>
    </row>
    <row r="6">
      <c r="A6" t="inlineStr">
        <is>
          <t>Laboratory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8" t="n">
        <v>0</v>
      </c>
    </row>
    <row r="7">
      <c r="A7" t="inlineStr">
        <is>
          <t>Imaging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8" t="n">
        <v>0</v>
      </c>
    </row>
    <row r="8">
      <c r="A8" t="inlineStr">
        <is>
          <t>Pharmacy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8" t="n">
        <v>0</v>
      </c>
    </row>
    <row r="9">
      <c r="A9" t="inlineStr">
        <is>
          <t>Prostheses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8" t="n">
        <v>0</v>
      </c>
    </row>
    <row r="10">
      <c r="A10" t="inlineStr">
        <is>
          <t>MS</t>
        </is>
      </c>
      <c r="B10" s="7" t="n">
        <v>25383.894</v>
      </c>
      <c r="C10" s="7" t="n">
        <v>28425.261</v>
      </c>
      <c r="D10" s="7" t="n">
        <v>32199.644</v>
      </c>
      <c r="E10" s="7" t="n">
        <v>28193.478</v>
      </c>
      <c r="F10" s="7" t="n">
        <v>26184.621</v>
      </c>
      <c r="G10" s="7" t="n">
        <v>33826.944</v>
      </c>
      <c r="H10" s="7" t="n">
        <v>24669.243</v>
      </c>
      <c r="I10" s="7" t="n">
        <v>27593.186</v>
      </c>
      <c r="J10" s="7" t="n">
        <v>27598.997</v>
      </c>
      <c r="K10" s="7" t="n">
        <v>29213.675</v>
      </c>
      <c r="L10" s="7" t="n">
        <v>25244.209</v>
      </c>
      <c r="M10" s="7" t="n">
        <v>31944.551</v>
      </c>
      <c r="N10" s="7" t="n">
        <v>340477.703</v>
      </c>
      <c r="O10" s="8" t="n">
        <v>0.08178210523050662</v>
      </c>
    </row>
    <row r="11">
      <c r="A11" t="inlineStr">
        <is>
          <t>Hotel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8" t="n">
        <v>0</v>
      </c>
    </row>
    <row r="12">
      <c r="A12" t="inlineStr">
        <is>
          <t>GS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8" t="n">
        <v>0</v>
      </c>
    </row>
    <row r="13">
      <c r="A13" t="inlineStr">
        <is>
          <t>Depreciation</t>
        </is>
      </c>
      <c r="B13" s="7" t="n">
        <v>10225.951</v>
      </c>
      <c r="C13" s="7" t="n">
        <v>10647.038</v>
      </c>
      <c r="D13" s="7" t="n">
        <v>12137.61</v>
      </c>
      <c r="E13" s="7" t="n">
        <v>10362.392</v>
      </c>
      <c r="F13" s="7" t="n">
        <v>9761.378000000001</v>
      </c>
      <c r="G13" s="7" t="n">
        <v>12330.209</v>
      </c>
      <c r="H13" s="7" t="n">
        <v>9603.029</v>
      </c>
      <c r="I13" s="7" t="n">
        <v>10539.643</v>
      </c>
      <c r="J13" s="7" t="n">
        <v>10190.927</v>
      </c>
      <c r="K13" s="7" t="n">
        <v>10934.427</v>
      </c>
      <c r="L13" s="7" t="n">
        <v>9874.922</v>
      </c>
      <c r="M13" s="7" t="n">
        <v>12461.012</v>
      </c>
      <c r="N13" s="7" t="n">
        <v>129068.538</v>
      </c>
      <c r="O13" s="8" t="n">
        <v>0.03100202058360234</v>
      </c>
    </row>
    <row r="14">
      <c r="A14" t="inlineStr">
        <is>
          <t>OHF</t>
        </is>
      </c>
      <c r="B14" s="7" t="n">
        <v>15819.768</v>
      </c>
      <c r="C14" s="7" t="n">
        <v>16353.682</v>
      </c>
      <c r="D14" s="7" t="n">
        <v>18663.328</v>
      </c>
      <c r="E14" s="7" t="n">
        <v>15942.522</v>
      </c>
      <c r="F14" s="7" t="n">
        <v>15048.788</v>
      </c>
      <c r="G14" s="7" t="n">
        <v>18938.115</v>
      </c>
      <c r="H14" s="7" t="n">
        <v>14832.581</v>
      </c>
      <c r="I14" s="7" t="n">
        <v>16171.619</v>
      </c>
      <c r="J14" s="7" t="n">
        <v>15659.915</v>
      </c>
      <c r="K14" s="7" t="n">
        <v>16855.407</v>
      </c>
      <c r="L14" s="7" t="n">
        <v>15336.826</v>
      </c>
      <c r="M14" s="7" t="n">
        <v>19192.025</v>
      </c>
      <c r="N14" s="7" t="n">
        <v>198814.576</v>
      </c>
      <c r="O14" s="8" t="n">
        <v>0.04775488800742572</v>
      </c>
    </row>
    <row r="15">
      <c r="A15" t="inlineStr">
        <is>
          <t>OHDepreciation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8" t="n">
        <v>0</v>
      </c>
    </row>
    <row r="16">
      <c r="A16" t="inlineStr">
        <is>
          <t>OHC</t>
        </is>
      </c>
      <c r="B16" s="7" t="n">
        <v>5737.501</v>
      </c>
      <c r="C16" s="7" t="n">
        <v>6250.031</v>
      </c>
      <c r="D16" s="7" t="n">
        <v>7354.386</v>
      </c>
      <c r="E16" s="7" t="n">
        <v>5580.077</v>
      </c>
      <c r="F16" s="7" t="n">
        <v>5590.133</v>
      </c>
      <c r="G16" s="7" t="n">
        <v>6951.658</v>
      </c>
      <c r="H16" s="7" t="n">
        <v>5463.637</v>
      </c>
      <c r="I16" s="7" t="n">
        <v>5978.173</v>
      </c>
      <c r="J16" s="7" t="n">
        <v>5546.827</v>
      </c>
      <c r="K16" s="7" t="n">
        <v>6055.076</v>
      </c>
      <c r="L16" s="7" t="n">
        <v>5647.897</v>
      </c>
      <c r="M16" s="7" t="n">
        <v>7602.599</v>
      </c>
      <c r="N16" s="7" t="n">
        <v>73757.995</v>
      </c>
      <c r="O16" s="8" t="n">
        <v>0.01771653196532867</v>
      </c>
    </row>
    <row r="17">
      <c r="A17" t="inlineStr">
        <is>
          <t>NABMs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8" t="n">
        <v>0</v>
      </c>
    </row>
    <row r="18">
      <c r="A18" s="4" t="inlineStr">
        <is>
          <t>Total (cost-type view of the sent files)</t>
        </is>
      </c>
      <c r="B18" s="4" t="n">
        <v>319643.187</v>
      </c>
      <c r="C18" s="4" t="n">
        <v>345299.913</v>
      </c>
      <c r="D18" s="4" t="n">
        <v>390316.496</v>
      </c>
      <c r="E18" s="4" t="n">
        <v>332636.294</v>
      </c>
      <c r="F18" s="4" t="n">
        <v>324868.963</v>
      </c>
      <c r="G18" s="4" t="n">
        <v>411476.276</v>
      </c>
      <c r="H18" s="4" t="n">
        <v>307453.183</v>
      </c>
      <c r="I18" s="4" t="n">
        <v>332520.807</v>
      </c>
      <c r="J18" s="4" t="n">
        <v>336594.47</v>
      </c>
      <c r="K18" s="4" t="n">
        <v>355102.48</v>
      </c>
      <c r="L18" s="4" t="n">
        <v>317529.208</v>
      </c>
      <c r="M18" s="4" t="n">
        <v>389788.589</v>
      </c>
      <c r="N18" s="4" t="n">
        <v>4163229.866</v>
      </c>
      <c r="O18" s="4" t="n">
        <v>1</v>
      </c>
    </row>
    <row r="19">
      <c r="A19" t="inlineStr">
        <is>
          <t>Note: the sent files carried only 64.5% of each claim in the cost-type view; the remaining 35.5% sat in the bucket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2026-10-10T14:13:54Z</dcterms:created>
  <dcterms:modified xmlns:dcterms="http://purl.org/dc/terms/" xmlns:xsi="http://www.w3.org/2001/XMLSchema-instance" xsi:type="dcterms:W3CDTF">2026-10-10T14:25:51Z</dcterms:modified>
</cp:coreProperties>
</file>