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types by month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Current impl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4" fontId="0" fillId="3" borderId="0" pivotButton="0" quotePrefix="0" xfId="0"/>
    <xf numFmtId="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164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Cost type</t>
        </is>
      </c>
      <c r="B1" s="1" t="inlineStr">
        <is>
          <t>Description (Standard v2.1 Appendix 1)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  <c r="O1" s="1" t="inlineStr">
        <is>
          <t>FY2025 total</t>
        </is>
      </c>
    </row>
    <row r="2">
      <c r="A2" t="inlineStr">
        <is>
          <t>SWNurs</t>
        </is>
      </c>
      <c r="B2" t="inlineStr">
        <is>
          <t>Salaries and wages — nursing (dental nurses)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>
        <f>SUM(C2:N2)</f>
        <v/>
      </c>
    </row>
    <row r="3">
      <c r="A3" t="inlineStr">
        <is>
          <t>SWDoc</t>
        </is>
      </c>
      <c r="B3" t="inlineStr">
        <is>
          <t>Salaries and wages — medical (dentists, oral surgeons, orthodontists)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3">
        <f>SUM(C3:N3)</f>
        <v/>
      </c>
    </row>
    <row r="4">
      <c r="A4" t="inlineStr">
        <is>
          <t>SWAllied</t>
        </is>
      </c>
      <c r="B4" t="inlineStr">
        <is>
          <t>Salaries and wages — allied health incl. technicians (hygienists, radiographers, lab technicians)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3">
        <f>SUM(C4:N4)</f>
        <v/>
      </c>
    </row>
    <row r="5">
      <c r="A5" t="inlineStr">
        <is>
          <t>SWNonClin</t>
        </is>
      </c>
      <c r="B5" t="inlineStr">
        <is>
          <t>Salaries and wages — non-clinical staff recorded in DIRECT cost centres (chairside assistants, clinic clerks). Admin/management in overhead cost centres go to OHF.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3">
        <f>SUM(C5:N5)</f>
        <v/>
      </c>
    </row>
    <row r="6">
      <c r="A6" t="inlineStr">
        <is>
          <t>Laboratory</t>
        </is>
      </c>
      <c r="B6" t="inlineStr">
        <is>
          <t>Laboratory supplies and outsourced laboratory invoices (dental lab work)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3">
        <f>SUM(C6:N6)</f>
        <v/>
      </c>
    </row>
    <row r="7">
      <c r="A7" t="inlineStr">
        <is>
          <t>Imaging</t>
        </is>
      </c>
      <c r="B7" t="inlineStr">
        <is>
          <t>Imaging supplies (films, sensors, contrast) and outsourced imaging invoices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3">
        <f>SUM(C7:N7)</f>
        <v/>
      </c>
    </row>
    <row r="8">
      <c r="A8" t="inlineStr">
        <is>
          <t>Pharmacy</t>
        </is>
      </c>
      <c r="B8" t="inlineStr">
        <is>
          <t>Drugs, anaesthetics and pharmacy services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3">
        <f>SUM(C8:N8)</f>
        <v/>
      </c>
    </row>
    <row r="9">
      <c r="A9" t="inlineStr">
        <is>
          <t>Prostheses</t>
        </is>
      </c>
      <c r="B9" t="inlineStr">
        <is>
          <t>Implants, crowns, dentures and other implantable devices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3">
        <f>SUM(C9:N9)</f>
        <v/>
      </c>
    </row>
    <row r="10">
      <c r="A10" t="inlineStr">
        <is>
          <t>MS</t>
        </is>
      </c>
      <c r="B10" t="inlineStr">
        <is>
          <t>All other medical, surgical and dental supplies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3">
        <f>SUM(C10:N10)</f>
        <v/>
      </c>
    </row>
    <row r="11">
      <c r="A11" t="inlineStr">
        <is>
          <t>Hotel</t>
        </is>
      </c>
      <c r="B11" t="inlineStr">
        <is>
          <t>Cleaning products/services, linen and laundry, patient food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3">
        <f>SUM(C11:N11)</f>
        <v/>
      </c>
    </row>
    <row r="12">
      <c r="A12" t="inlineStr">
        <is>
          <t>GS</t>
        </is>
      </c>
      <c r="B12" t="inlineStr">
        <is>
          <t>All other goods and services recorded in DIRECT cost centres (e.g. rent, utilities, security if booked to the clinic rooms)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3">
        <f>SUM(C12:N12)</f>
        <v/>
      </c>
    </row>
    <row r="13">
      <c r="A13" t="inlineStr">
        <is>
          <t>Depreciation</t>
        </is>
      </c>
      <c r="B13" t="inlineStr">
        <is>
          <t>Depreciation and amortisation recorded in DIRECT cost centres (dental chairs, imaging units)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3">
        <f>SUM(C13:N13)</f>
        <v/>
      </c>
    </row>
    <row r="14">
      <c r="A14" t="inlineStr">
        <is>
          <t>OHF</t>
        </is>
      </c>
      <c r="B14" t="inlineStr">
        <is>
          <t>ALL expenses of OVERHEAD cost centres except depreciation: administration, reception/front office, management, HR, finance, IT, marketing, facility rent/utilities/maintenance booked to overhead centres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3">
        <f>SUM(C14:N14)</f>
        <v/>
      </c>
    </row>
    <row r="15">
      <c r="A15" t="inlineStr">
        <is>
          <t>OHDepreciation</t>
        </is>
      </c>
      <c r="B15" t="inlineStr">
        <is>
          <t>Depreciation and amortisation recorded in OVERHEAD cost centres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3">
        <f>SUM(C15:N15)</f>
        <v/>
      </c>
    </row>
    <row r="16">
      <c r="A16" t="inlineStr">
        <is>
          <t>OHC</t>
        </is>
      </c>
      <c r="B16" t="inlineStr">
        <is>
          <t>Overheads charged by a corporate office / shared services (group fees, head-office recharges)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3">
        <f>SUM(C16:N16)</f>
        <v/>
      </c>
    </row>
    <row r="17">
      <c r="A17" t="inlineStr">
        <is>
          <t>NABMs</t>
        </is>
      </c>
      <c r="B17" t="inlineStr">
        <is>
          <t>Non-activity based mandate funding by DOH, reported as negative cost (normally 0 for a private clinic)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3">
        <f>SUM(C17:N17)</f>
        <v/>
      </c>
    </row>
    <row r="19">
      <c r="A19" s="4" t="inlineStr">
        <is>
          <t>Total entered</t>
        </is>
      </c>
      <c r="B19" s="4" t="inlineStr"/>
      <c r="C19" s="5">
        <f>SUM(C2:C17)</f>
        <v/>
      </c>
      <c r="D19" s="5">
        <f>SUM(D2:D17)</f>
        <v/>
      </c>
      <c r="E19" s="5">
        <f>SUM(E2:E17)</f>
        <v/>
      </c>
      <c r="F19" s="5">
        <f>SUM(F2:F17)</f>
        <v/>
      </c>
      <c r="G19" s="5">
        <f>SUM(G2:G17)</f>
        <v/>
      </c>
      <c r="H19" s="5">
        <f>SUM(H2:H17)</f>
        <v/>
      </c>
      <c r="I19" s="5">
        <f>SUM(I2:I17)</f>
        <v/>
      </c>
      <c r="J19" s="5">
        <f>SUM(J2:J17)</f>
        <v/>
      </c>
      <c r="K19" s="5">
        <f>SUM(K2:K17)</f>
        <v/>
      </c>
      <c r="L19" s="5">
        <f>SUM(L2:L17)</f>
        <v/>
      </c>
      <c r="M19" s="5">
        <f>SUM(M2:M17)</f>
        <v/>
      </c>
      <c r="N19" s="5">
        <f>SUM(N2:N17)</f>
        <v/>
      </c>
      <c r="O19" s="5">
        <f>SUM(O2:O17)</f>
        <v/>
      </c>
    </row>
    <row r="20">
      <c r="A20" s="4" t="inlineStr">
        <is>
          <t>Ledger (Arjun, locked)</t>
        </is>
      </c>
      <c r="B20" s="4" t="inlineStr"/>
      <c r="C20" s="5" t="n">
        <v>511302.3</v>
      </c>
      <c r="D20" s="5" t="n">
        <v>532341.65</v>
      </c>
      <c r="E20" s="5" t="n">
        <v>606868.87</v>
      </c>
      <c r="F20" s="5" t="n">
        <v>518123.67</v>
      </c>
      <c r="G20" s="5" t="n">
        <v>488066.69</v>
      </c>
      <c r="H20" s="5" t="n">
        <v>616494.09</v>
      </c>
      <c r="I20" s="5" t="n">
        <v>480166.82</v>
      </c>
      <c r="J20" s="5" t="n">
        <v>526990.1</v>
      </c>
      <c r="K20" s="5" t="n">
        <v>509542.05</v>
      </c>
      <c r="L20" s="5" t="n">
        <v>546725.98</v>
      </c>
      <c r="M20" s="5" t="n">
        <v>493746.03</v>
      </c>
      <c r="N20" s="5" t="n">
        <v>623033.73</v>
      </c>
      <c r="O20" s="5" t="n">
        <v>6453401.98</v>
      </c>
    </row>
    <row r="21">
      <c r="A21" s="4" t="inlineStr">
        <is>
          <t>Difference (must be 0.00)</t>
        </is>
      </c>
      <c r="B21" s="4" t="inlineStr"/>
      <c r="C21" s="5">
        <f>C19-C20</f>
        <v/>
      </c>
      <c r="D21" s="5">
        <f>D19-D20</f>
        <v/>
      </c>
      <c r="E21" s="5">
        <f>E19-E20</f>
        <v/>
      </c>
      <c r="F21" s="5">
        <f>F19-F20</f>
        <v/>
      </c>
      <c r="G21" s="5">
        <f>G19-G20</f>
        <v/>
      </c>
      <c r="H21" s="5">
        <f>H19-H20</f>
        <v/>
      </c>
      <c r="I21" s="5">
        <f>I19-I20</f>
        <v/>
      </c>
      <c r="J21" s="5">
        <f>J19-J20</f>
        <v/>
      </c>
      <c r="K21" s="5">
        <f>K19-K20</f>
        <v/>
      </c>
      <c r="L21" s="5">
        <f>L19-L20</f>
        <v/>
      </c>
      <c r="M21" s="5">
        <f>M19-M20</f>
        <v/>
      </c>
      <c r="N21" s="5">
        <f>N19-N20</f>
        <v/>
      </c>
      <c r="O21" s="5">
        <f>O19-O20</f>
        <v/>
      </c>
    </row>
    <row r="23">
      <c r="A23" s="4" t="inlineStr">
        <is>
          <t>Overhead ratio (OHF+OHDepreciation+OHC) / total</t>
        </is>
      </c>
      <c r="B23" s="4" t="inlineStr"/>
      <c r="C23" s="6">
        <f>IFERROR((C14+C15+C16)/C19,0)</f>
        <v/>
      </c>
      <c r="D23" s="6">
        <f>IFERROR((D14+D15+D16)/D19,0)</f>
        <v/>
      </c>
      <c r="E23" s="6">
        <f>IFERROR((E14+E15+E16)/E19,0)</f>
        <v/>
      </c>
      <c r="F23" s="6">
        <f>IFERROR((F14+F15+F16)/F19,0)</f>
        <v/>
      </c>
      <c r="G23" s="6">
        <f>IFERROR((G14+G15+G16)/G19,0)</f>
        <v/>
      </c>
      <c r="H23" s="6">
        <f>IFERROR((H14+H15+H16)/H19,0)</f>
        <v/>
      </c>
      <c r="I23" s="6">
        <f>IFERROR((I14+I15+I16)/I19,0)</f>
        <v/>
      </c>
      <c r="J23" s="6">
        <f>IFERROR((J14+J15+J16)/J19,0)</f>
        <v/>
      </c>
      <c r="K23" s="6">
        <f>IFERROR((K14+K15+K16)/K19,0)</f>
        <v/>
      </c>
      <c r="L23" s="6">
        <f>IFERROR((L14+L15+L16)/L19,0)</f>
        <v/>
      </c>
      <c r="M23" s="6">
        <f>IFERROR((M14+M15+M16)/M19,0)</f>
        <v/>
      </c>
      <c r="N23" s="6">
        <f>IFERROR((N14+N15+N16)/N19,0)</f>
        <v/>
      </c>
      <c r="O23" s="6">
        <f>IFERROR((O14+O15+O16)/O19,0)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Purpose: map every FY2025 expense line to one of the sixteen DOH cost types, by month, so the cost submission can be</t>
        </is>
      </c>
    </row>
    <row r="2">
      <c r="A2" t="inlineStr">
        <is>
          <t>re-expressed with cost buckets and cost types that both equal the ledger (DOH SY02 rejection: Cost Bucket / Cost Type Match).</t>
        </is>
      </c>
    </row>
    <row r="3">
      <c r="A3" t="inlineStr"/>
    </row>
    <row r="4">
      <c r="A4" t="inlineStr">
        <is>
          <t>1. Start from the same monthly ledger that gave the locked figures (row 'Ledger (Arjun, locked)'). Every month must reconcile to 0.00.</t>
        </is>
      </c>
    </row>
    <row r="5">
      <c r="A5" t="inlineStr">
        <is>
          <t>2. First classify each cost centre as DIRECT (treats patients: dental surgeries, imaging room) or OVERHEAD (administration, reception/front office,</t>
        </is>
      </c>
    </row>
    <row r="6">
      <c r="A6" t="inlineStr">
        <is>
          <t xml:space="preserve">   management, HR, finance, IT, marketing, facility services, head office).</t>
        </is>
      </c>
    </row>
    <row r="7">
      <c r="A7" t="inlineStr">
        <is>
          <t>3. Expenses of OVERHEAD cost centres go to OHF (or OHDepreciation for their depreciation, OHC if charged by a corporate office).</t>
        </is>
      </c>
    </row>
    <row r="8">
      <c r="A8" t="inlineStr">
        <is>
          <t xml:space="preserve">   Expenses of DIRECT cost centres go to the direct cost types by their nature (salaries by staff category, supplies, depreciation, GS).</t>
        </is>
      </c>
    </row>
    <row r="9">
      <c r="A9" t="inlineStr">
        <is>
          <t>4. Rent, utilities, maintenance and security: if the premises are booked to an overhead cost centre, they are OHF; if booked to the clinic rooms, GS.</t>
        </is>
      </c>
    </row>
    <row r="10">
      <c r="A10" t="inlineStr">
        <is>
          <t>5. Outsourced dental laboratory invoices are Laboratory; crowns/dentures/implants are Prostheses; anaesthetics and drugs are Pharmacy.</t>
        </is>
      </c>
    </row>
    <row r="11">
      <c r="A11" t="inlineStr">
        <is>
          <t>6. Use accrual figures (Standard 3.1.3). Exclude balance-sheet items. Include third-party expenses not in the GL if relevant (3.1.2).</t>
        </is>
      </c>
    </row>
    <row r="12">
      <c r="A12" t="inlineStr">
        <is>
          <t>7. The 'Current implied' sheet shows what the rejected files implied per cost type. It is for comparison only; do not copy it.</t>
        </is>
      </c>
    </row>
    <row r="13">
      <c r="A13" t="inlineStr">
        <is>
          <t>8. DOH expects the overhead ratio between 20% and under 50%; below 20% draws a warning. Report what the ledger says.</t>
        </is>
      </c>
    </row>
    <row r="14">
      <c r="A14" t="inlineStr"/>
    </row>
    <row r="15">
      <c r="A15" t="inlineStr">
        <is>
          <t>Return this file as input/Ledger_by_Cost_Type_FY2025.xlsx. The two-margin engine (scripts/rebalance_two_view.py) reads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Cost type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FY2025 total</t>
        </is>
      </c>
      <c r="O1" s="1" t="inlineStr">
        <is>
          <t>Share</t>
        </is>
      </c>
    </row>
    <row r="2">
      <c r="A2" t="inlineStr">
        <is>
          <t>SWNurs</t>
        </is>
      </c>
      <c r="B2" s="7" t="n">
        <v>55736.67</v>
      </c>
      <c r="C2" s="7" t="n">
        <v>60506.604</v>
      </c>
      <c r="D2" s="7" t="n">
        <v>68913.474</v>
      </c>
      <c r="E2" s="7" t="n">
        <v>57524.405</v>
      </c>
      <c r="F2" s="7" t="n">
        <v>58313.543</v>
      </c>
      <c r="G2" s="7" t="n">
        <v>73130.595</v>
      </c>
      <c r="H2" s="7" t="n">
        <v>54158.436</v>
      </c>
      <c r="I2" s="7" t="n">
        <v>58192.573</v>
      </c>
      <c r="J2" s="7" t="n">
        <v>59803.285</v>
      </c>
      <c r="K2" s="7" t="n">
        <v>62476.192</v>
      </c>
      <c r="L2" s="7" t="n">
        <v>56723.65</v>
      </c>
      <c r="M2" s="7" t="n">
        <v>67721.814</v>
      </c>
      <c r="N2" s="7" t="n">
        <v>733201.241</v>
      </c>
      <c r="O2" s="8" t="n">
        <v>0.1761135619697248</v>
      </c>
    </row>
    <row r="3">
      <c r="A3" t="inlineStr">
        <is>
          <t>SWDoc</t>
        </is>
      </c>
      <c r="B3" s="7" t="n">
        <v>156702.002</v>
      </c>
      <c r="C3" s="7" t="n">
        <v>171621.546</v>
      </c>
      <c r="D3" s="7" t="n">
        <v>192980.282</v>
      </c>
      <c r="E3" s="7" t="n">
        <v>165105.147</v>
      </c>
      <c r="F3" s="7" t="n">
        <v>163130.336</v>
      </c>
      <c r="G3" s="7" t="n">
        <v>206870.954</v>
      </c>
      <c r="H3" s="7" t="n">
        <v>152430.262</v>
      </c>
      <c r="I3" s="7" t="n">
        <v>163691.845</v>
      </c>
      <c r="J3" s="7" t="n">
        <v>168519.31</v>
      </c>
      <c r="K3" s="7" t="n">
        <v>176797.824</v>
      </c>
      <c r="L3" s="7" t="n">
        <v>155782.924</v>
      </c>
      <c r="M3" s="7" t="n">
        <v>190270.905</v>
      </c>
      <c r="N3" s="7" t="n">
        <v>2063903.337</v>
      </c>
      <c r="O3" s="8" t="n">
        <v>0.4957457078830439</v>
      </c>
    </row>
    <row r="4">
      <c r="A4" t="inlineStr">
        <is>
          <t>SWAllied</t>
        </is>
      </c>
      <c r="B4" s="7" t="n">
        <v>22872.146</v>
      </c>
      <c r="C4" s="7" t="n">
        <v>23409.751</v>
      </c>
      <c r="D4" s="7" t="n">
        <v>26350.826</v>
      </c>
      <c r="E4" s="7" t="n">
        <v>22972.612</v>
      </c>
      <c r="F4" s="7" t="n">
        <v>21172.484</v>
      </c>
      <c r="G4" s="7" t="n">
        <v>26981.679</v>
      </c>
      <c r="H4" s="7" t="n">
        <v>21075.289</v>
      </c>
      <c r="I4" s="7" t="n">
        <v>22809.501</v>
      </c>
      <c r="J4" s="7" t="n">
        <v>22510.652</v>
      </c>
      <c r="K4" s="7" t="n">
        <v>24113.06</v>
      </c>
      <c r="L4" s="7" t="n">
        <v>22314.39</v>
      </c>
      <c r="M4" s="7" t="n">
        <v>27360.159</v>
      </c>
      <c r="N4" s="7" t="n">
        <v>283942.549</v>
      </c>
      <c r="O4" s="8" t="n">
        <v>0.06820246734846036</v>
      </c>
    </row>
    <row r="5">
      <c r="A5" t="inlineStr">
        <is>
          <t>SWNonClin</t>
        </is>
      </c>
      <c r="B5" s="7" t="n">
        <v>27165.255</v>
      </c>
      <c r="C5" s="7" t="n">
        <v>28086</v>
      </c>
      <c r="D5" s="7" t="n">
        <v>31716.946</v>
      </c>
      <c r="E5" s="7" t="n">
        <v>26955.661</v>
      </c>
      <c r="F5" s="7" t="n">
        <v>25667.68</v>
      </c>
      <c r="G5" s="7" t="n">
        <v>32446.122</v>
      </c>
      <c r="H5" s="7" t="n">
        <v>25220.706</v>
      </c>
      <c r="I5" s="7" t="n">
        <v>27544.267</v>
      </c>
      <c r="J5" s="7" t="n">
        <v>26764.557</v>
      </c>
      <c r="K5" s="7" t="n">
        <v>28656.819</v>
      </c>
      <c r="L5" s="7" t="n">
        <v>26604.39</v>
      </c>
      <c r="M5" s="7" t="n">
        <v>33235.524</v>
      </c>
      <c r="N5" s="7" t="n">
        <v>340063.927</v>
      </c>
      <c r="O5" s="8" t="n">
        <v>0.0816827170119076</v>
      </c>
    </row>
    <row r="6">
      <c r="A6" t="inlineStr">
        <is>
          <t>Laboratory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8" t="n">
        <v>0</v>
      </c>
    </row>
    <row r="7">
      <c r="A7" t="inlineStr">
        <is>
          <t>Imaging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8" t="n">
        <v>0</v>
      </c>
    </row>
    <row r="8">
      <c r="A8" t="inlineStr">
        <is>
          <t>Pharmacy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8" t="n">
        <v>0</v>
      </c>
    </row>
    <row r="9">
      <c r="A9" t="inlineStr">
        <is>
          <t>Prostheses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8" t="n">
        <v>0</v>
      </c>
    </row>
    <row r="10">
      <c r="A10" t="inlineStr">
        <is>
          <t>MS</t>
        </is>
      </c>
      <c r="B10" s="7" t="n">
        <v>25383.894</v>
      </c>
      <c r="C10" s="7" t="n">
        <v>28425.261</v>
      </c>
      <c r="D10" s="7" t="n">
        <v>32199.644</v>
      </c>
      <c r="E10" s="7" t="n">
        <v>28193.478</v>
      </c>
      <c r="F10" s="7" t="n">
        <v>26184.621</v>
      </c>
      <c r="G10" s="7" t="n">
        <v>33826.944</v>
      </c>
      <c r="H10" s="7" t="n">
        <v>24669.243</v>
      </c>
      <c r="I10" s="7" t="n">
        <v>27593.186</v>
      </c>
      <c r="J10" s="7" t="n">
        <v>27598.997</v>
      </c>
      <c r="K10" s="7" t="n">
        <v>29213.675</v>
      </c>
      <c r="L10" s="7" t="n">
        <v>25244.209</v>
      </c>
      <c r="M10" s="7" t="n">
        <v>31944.551</v>
      </c>
      <c r="N10" s="7" t="n">
        <v>340477.703</v>
      </c>
      <c r="O10" s="8" t="n">
        <v>0.08178210523050662</v>
      </c>
    </row>
    <row r="11">
      <c r="A11" t="inlineStr">
        <is>
          <t>Hotel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8" t="n">
        <v>0</v>
      </c>
    </row>
    <row r="12">
      <c r="A12" t="inlineStr">
        <is>
          <t>GS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8" t="n">
        <v>0</v>
      </c>
    </row>
    <row r="13">
      <c r="A13" t="inlineStr">
        <is>
          <t>Depreciation</t>
        </is>
      </c>
      <c r="B13" s="7" t="n">
        <v>10225.951</v>
      </c>
      <c r="C13" s="7" t="n">
        <v>10647.038</v>
      </c>
      <c r="D13" s="7" t="n">
        <v>12137.61</v>
      </c>
      <c r="E13" s="7" t="n">
        <v>10362.392</v>
      </c>
      <c r="F13" s="7" t="n">
        <v>9761.378000000001</v>
      </c>
      <c r="G13" s="7" t="n">
        <v>12330.209</v>
      </c>
      <c r="H13" s="7" t="n">
        <v>9603.029</v>
      </c>
      <c r="I13" s="7" t="n">
        <v>10539.643</v>
      </c>
      <c r="J13" s="7" t="n">
        <v>10190.927</v>
      </c>
      <c r="K13" s="7" t="n">
        <v>10934.427</v>
      </c>
      <c r="L13" s="7" t="n">
        <v>9874.922</v>
      </c>
      <c r="M13" s="7" t="n">
        <v>12461.012</v>
      </c>
      <c r="N13" s="7" t="n">
        <v>129068.538</v>
      </c>
      <c r="O13" s="8" t="n">
        <v>0.03100202058360234</v>
      </c>
    </row>
    <row r="14">
      <c r="A14" t="inlineStr">
        <is>
          <t>OHF</t>
        </is>
      </c>
      <c r="B14" s="7" t="n">
        <v>15819.768</v>
      </c>
      <c r="C14" s="7" t="n">
        <v>16353.682</v>
      </c>
      <c r="D14" s="7" t="n">
        <v>18663.328</v>
      </c>
      <c r="E14" s="7" t="n">
        <v>15942.522</v>
      </c>
      <c r="F14" s="7" t="n">
        <v>15048.788</v>
      </c>
      <c r="G14" s="7" t="n">
        <v>18938.115</v>
      </c>
      <c r="H14" s="7" t="n">
        <v>14832.581</v>
      </c>
      <c r="I14" s="7" t="n">
        <v>16171.619</v>
      </c>
      <c r="J14" s="7" t="n">
        <v>15659.915</v>
      </c>
      <c r="K14" s="7" t="n">
        <v>16855.407</v>
      </c>
      <c r="L14" s="7" t="n">
        <v>15336.826</v>
      </c>
      <c r="M14" s="7" t="n">
        <v>19192.025</v>
      </c>
      <c r="N14" s="7" t="n">
        <v>198814.576</v>
      </c>
      <c r="O14" s="8" t="n">
        <v>0.04775488800742572</v>
      </c>
    </row>
    <row r="15">
      <c r="A15" t="inlineStr">
        <is>
          <t>OHDepreciation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8" t="n">
        <v>0</v>
      </c>
    </row>
    <row r="16">
      <c r="A16" t="inlineStr">
        <is>
          <t>OHC</t>
        </is>
      </c>
      <c r="B16" s="7" t="n">
        <v>5737.501</v>
      </c>
      <c r="C16" s="7" t="n">
        <v>6250.031</v>
      </c>
      <c r="D16" s="7" t="n">
        <v>7354.386</v>
      </c>
      <c r="E16" s="7" t="n">
        <v>5580.077</v>
      </c>
      <c r="F16" s="7" t="n">
        <v>5590.133</v>
      </c>
      <c r="G16" s="7" t="n">
        <v>6951.658</v>
      </c>
      <c r="H16" s="7" t="n">
        <v>5463.637</v>
      </c>
      <c r="I16" s="7" t="n">
        <v>5978.173</v>
      </c>
      <c r="J16" s="7" t="n">
        <v>5546.827</v>
      </c>
      <c r="K16" s="7" t="n">
        <v>6055.076</v>
      </c>
      <c r="L16" s="7" t="n">
        <v>5647.897</v>
      </c>
      <c r="M16" s="7" t="n">
        <v>7602.599</v>
      </c>
      <c r="N16" s="7" t="n">
        <v>73757.995</v>
      </c>
      <c r="O16" s="8" t="n">
        <v>0.01771653196532867</v>
      </c>
    </row>
    <row r="17">
      <c r="A17" t="inlineStr">
        <is>
          <t>NABMs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8" t="n">
        <v>0</v>
      </c>
    </row>
    <row r="18">
      <c r="A18" s="4" t="inlineStr">
        <is>
          <t>Total (cost-type view of the sent files)</t>
        </is>
      </c>
      <c r="B18" s="4" t="n">
        <v>319643.187</v>
      </c>
      <c r="C18" s="4" t="n">
        <v>345299.913</v>
      </c>
      <c r="D18" s="4" t="n">
        <v>390316.496</v>
      </c>
      <c r="E18" s="4" t="n">
        <v>332636.294</v>
      </c>
      <c r="F18" s="4" t="n">
        <v>324868.963</v>
      </c>
      <c r="G18" s="4" t="n">
        <v>411476.276</v>
      </c>
      <c r="H18" s="4" t="n">
        <v>307453.183</v>
      </c>
      <c r="I18" s="4" t="n">
        <v>332520.807</v>
      </c>
      <c r="J18" s="4" t="n">
        <v>336594.47</v>
      </c>
      <c r="K18" s="4" t="n">
        <v>355102.48</v>
      </c>
      <c r="L18" s="4" t="n">
        <v>317529.208</v>
      </c>
      <c r="M18" s="4" t="n">
        <v>389788.589</v>
      </c>
      <c r="N18" s="4" t="n">
        <v>4163229.866</v>
      </c>
      <c r="O18" s="4" t="n">
        <v>1</v>
      </c>
    </row>
    <row r="19">
      <c r="A19" t="inlineStr">
        <is>
          <t>Note: the sent files carried only 64.5% of each claim in the cost-type view; the remaining 35.5% sat in the bucket 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2026-10-10T14:13:54Z</dcterms:created>
  <dcterms:modified xmlns:dcterms="http://purl.org/dc/terms/" xmlns:xsi="http://www.w3.org/2001/XMLSchema-instance" xsi:type="dcterms:W3CDTF">2026-10-10T14:13:56Z</dcterms:modified>
</cp:coreProperties>
</file>