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496b27a4ce170d/Downloads/"/>
    </mc:Choice>
  </mc:AlternateContent>
  <xr:revisionPtr revIDLastSave="0" documentId="8_{A5C3F5F2-C25A-48AA-9092-1A67DD4C9FDA}" xr6:coauthVersionLast="47" xr6:coauthVersionMax="47" xr10:uidLastSave="{00000000-0000-0000-0000-000000000000}"/>
  <bookViews>
    <workbookView xWindow="-108" yWindow="-108" windowWidth="23256" windowHeight="12456" xr2:uid="{CCC26133-5456-4369-A3CA-9DF7D712EF46}"/>
  </bookViews>
  <sheets>
    <sheet name="Consumpti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7" i="1" l="1"/>
  <c r="L7" i="1"/>
  <c r="K7" i="1"/>
  <c r="J7" i="1"/>
  <c r="I7" i="1"/>
  <c r="H7" i="1"/>
  <c r="G7" i="1"/>
  <c r="F7" i="1"/>
  <c r="E7" i="1"/>
  <c r="D7" i="1"/>
  <c r="C7" i="1"/>
  <c r="B7" i="1"/>
  <c r="N7" i="1" s="1"/>
  <c r="N6" i="1"/>
  <c r="N5" i="1"/>
  <c r="N4" i="1"/>
  <c r="N3" i="1"/>
  <c r="N2" i="1"/>
</calcChain>
</file>

<file path=xl/sharedStrings.xml><?xml version="1.0" encoding="utf-8"?>
<sst xmlns="http://schemas.openxmlformats.org/spreadsheetml/2006/main" count="7" uniqueCount="7">
  <si>
    <t>Particulars</t>
  </si>
  <si>
    <t>Grand Total</t>
  </si>
  <si>
    <r>
      <rPr>
        <b/>
        <sz val="10"/>
        <color rgb="FF000000"/>
        <rFont val="Aptos Narrow"/>
      </rPr>
      <t>Consumables</t>
    </r>
    <r>
      <rPr>
        <sz val="8"/>
        <color rgb="FF000000"/>
        <rFont val="Aptos Narrow"/>
      </rPr>
      <t xml:space="preserve"> -( Dr. H.T /-, Dr. S /- ,Dr. Asma /- , Dr. Ammar /- , Dr. Amr  , VIP1 /- , VIP2/-)</t>
    </r>
  </si>
  <si>
    <t>Consumables -  ( CSSD /- , Vital - /-, PAN - /- , ADRC /- , CVM-)</t>
  </si>
  <si>
    <t>Internal LAB (/-)</t>
  </si>
  <si>
    <t>External LAB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</si>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</sst>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7">
    <font>
      <sz val="11"/>
      <name val="Aptos Narrow"/>
    </font>
    <font>
      <sz val="11"/>
      <name val="Aptos Narrow"/>
    </font>
    <font>
      <b/>
      <sz val="11"/>
      <color rgb="FF000000"/>
      <name val="Aptos Narrow"/>
    </font>
    <font>
      <sz val="8"/>
      <color rgb="FF000000"/>
      <name val="Aptos Narrow"/>
    </font>
    <font>
      <b/>
      <sz val="10"/>
      <color rgb="FF000000"/>
      <name val="Aptos Narrow"/>
    </font>
    <font>
      <sz val="11"/>
      <color rgb="FF000000"/>
      <name val="Aptos Narrow"/>
    </font>
    <font>
      <sz val="10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43" fontId="5" fillId="0" borderId="0">
      <alignment vertical="top"/>
      <protection locked="0"/>
    </xf>
    <xf numFmtId="43" fontId="5" fillId="0" borderId="0">
      <alignment vertical="top"/>
      <protection locked="0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3" fillId="0" borderId="0" xfId="0" applyFont="1" applyAlignment="1"/>
    <xf numFmtId="43" fontId="1" fillId="0" borderId="0" xfId="1" applyFont="1" applyAlignment="1" applyProtection="1"/>
    <xf numFmtId="0" fontId="1" fillId="0" borderId="0" xfId="0" applyFont="1" applyAlignment="1"/>
    <xf numFmtId="43" fontId="1" fillId="0" borderId="0" xfId="2" applyFont="1" applyAlignment="1" applyProtection="1"/>
    <xf numFmtId="164" fontId="1" fillId="0" borderId="0" xfId="0" applyNumberFormat="1" applyFont="1" applyAlignment="1"/>
    <xf numFmtId="0" fontId="6" fillId="0" borderId="0" xfId="0" applyFont="1" applyAlignment="1"/>
    <xf numFmtId="164" fontId="2" fillId="0" borderId="1" xfId="0" applyNumberFormat="1" applyFont="1" applyBorder="1" applyAlignment="1"/>
  </cellXfs>
  <cellStyles count="3">
    <cellStyle name="Comma" xfId="1" builtinId="3"/>
    <cellStyle name="Comma 2 3 3" xfId="2" xr:uid="{C124CAF8-D8D6-499D-B4C1-F2BA7947955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AF17-56D4-4A26-AFC0-F6C1C2FF8E6E}">
  <dimension ref="A1:N7"/>
  <sheetViews>
    <sheetView tabSelected="1" workbookViewId="0">
      <selection activeCell="M3" sqref="M3"/>
    </sheetView>
  </sheetViews>
  <sheetFormatPr defaultColWidth="10" defaultRowHeight="14.4"/>
  <cols>
    <col min="1" max="1" width="57.77734375" bestFit="1" customWidth="1"/>
    <col min="2" max="2" width="12.21875" bestFit="1" customWidth="1"/>
    <col min="3" max="3" width="12.77734375" bestFit="1" customWidth="1"/>
    <col min="4" max="4" width="12.21875" bestFit="1" customWidth="1"/>
    <col min="5" max="13" width="11.21875" bestFit="1" customWidth="1"/>
    <col min="14" max="14" width="14" bestFit="1" customWidth="1"/>
  </cols>
  <sheetData>
    <row r="1" spans="1:14">
      <c r="A1" s="1" t="s">
        <v>0</v>
      </c>
      <c r="B1" s="2">
        <v>45658</v>
      </c>
      <c r="C1" s="2">
        <v>45689</v>
      </c>
      <c r="D1" s="2">
        <v>45717</v>
      </c>
      <c r="E1" s="2">
        <v>45748</v>
      </c>
      <c r="F1" s="2">
        <v>45778</v>
      </c>
      <c r="G1" s="2">
        <v>45809</v>
      </c>
      <c r="H1" s="2">
        <v>45839</v>
      </c>
      <c r="I1" s="2">
        <v>45870</v>
      </c>
      <c r="J1" s="2">
        <v>45901</v>
      </c>
      <c r="K1" s="2">
        <v>45931</v>
      </c>
      <c r="L1" s="2">
        <v>45962</v>
      </c>
      <c r="M1" s="2">
        <v>45992</v>
      </c>
      <c r="N1" t="s">
        <v>1</v>
      </c>
    </row>
    <row r="2" spans="1:14">
      <c r="A2" s="3" t="s">
        <v>2</v>
      </c>
      <c r="B2" s="4">
        <v>-80969.674249999982</v>
      </c>
      <c r="C2" s="5">
        <v>-67171.576366666661</v>
      </c>
      <c r="D2" s="4">
        <v>-70803.805699999997</v>
      </c>
      <c r="E2" s="4">
        <v>-70803.805700000012</v>
      </c>
      <c r="F2" s="4">
        <v>-63371.427163636334</v>
      </c>
      <c r="G2" s="4">
        <v>-61129.96</v>
      </c>
      <c r="H2" s="6">
        <v>-46785.804502272716</v>
      </c>
      <c r="I2" s="6">
        <v>-67034.698522727267</v>
      </c>
      <c r="J2" s="6">
        <v>-62943.55839015152</v>
      </c>
      <c r="K2" s="6">
        <v>-51591.698617424227</v>
      </c>
      <c r="L2" s="6">
        <v>-39376.223731060607</v>
      </c>
      <c r="M2" s="6">
        <v>-50594.583548484836</v>
      </c>
      <c r="N2" s="7">
        <f>SUM(B2:M2)</f>
        <v>-732576.81649242411</v>
      </c>
    </row>
    <row r="3" spans="1:14">
      <c r="A3" s="8" t="s">
        <v>3</v>
      </c>
      <c r="B3" s="4">
        <v>-4963.3098999999993</v>
      </c>
      <c r="C3" s="5">
        <v>-3617.3469999999998</v>
      </c>
      <c r="D3" s="4">
        <v>-4867.3554999999997</v>
      </c>
      <c r="E3" s="4">
        <v>-4867.3554999999997</v>
      </c>
      <c r="F3" s="4">
        <v>-4137.4274999999998</v>
      </c>
      <c r="G3" s="4">
        <v>-4094.41</v>
      </c>
      <c r="H3" s="6">
        <v>-4096.9112500000001</v>
      </c>
      <c r="I3" s="6">
        <v>-4535.0360249999994</v>
      </c>
      <c r="J3" s="6">
        <v>-3033.61</v>
      </c>
      <c r="K3" s="6">
        <v>-3973.9812499999994</v>
      </c>
      <c r="L3" s="6">
        <v>-5793.45165</v>
      </c>
      <c r="M3" s="6">
        <v>-9800.0400000000009</v>
      </c>
      <c r="N3" s="7">
        <f t="shared" ref="N3:N7" si="0">SUM(B3:M3)</f>
        <v>-57780.235574999999</v>
      </c>
    </row>
    <row r="4" spans="1:14">
      <c r="A4" t="s">
        <v>4</v>
      </c>
      <c r="B4" s="4">
        <v>-14324.503333333334</v>
      </c>
      <c r="C4" s="5">
        <v>-18259.876366666671</v>
      </c>
      <c r="D4" s="4">
        <v>-21431.243133333333</v>
      </c>
      <c r="E4" s="4">
        <v>-21431.243133333333</v>
      </c>
      <c r="F4" s="4">
        <v>-7316.6766333333335</v>
      </c>
      <c r="G4" s="4">
        <v>-13158.04</v>
      </c>
      <c r="H4" s="6">
        <v>-13819.9566</v>
      </c>
      <c r="I4" s="6">
        <v>-20017.8125</v>
      </c>
      <c r="J4" s="6">
        <v>-16858.991666666669</v>
      </c>
      <c r="K4" s="6">
        <v>-18917.633204545455</v>
      </c>
      <c r="L4" s="6">
        <v>-15006.225757575759</v>
      </c>
      <c r="M4" s="6">
        <v>-15194.746499843623</v>
      </c>
      <c r="N4" s="7">
        <f t="shared" si="0"/>
        <v>-195736.94882863155</v>
      </c>
    </row>
    <row r="5" spans="1:14">
      <c r="A5" t="s">
        <v>5</v>
      </c>
      <c r="B5" s="4">
        <v>-1870</v>
      </c>
      <c r="C5" s="5">
        <v>-200</v>
      </c>
      <c r="D5" s="4">
        <v>-7285</v>
      </c>
      <c r="E5" s="4">
        <v>-1735</v>
      </c>
      <c r="F5" s="4">
        <v>-7425</v>
      </c>
      <c r="G5" s="5"/>
      <c r="H5" s="6">
        <v>-4810</v>
      </c>
      <c r="I5" s="6">
        <v>-5254</v>
      </c>
      <c r="J5" s="6">
        <v>-1150</v>
      </c>
      <c r="K5" s="6">
        <v>-950</v>
      </c>
      <c r="L5" s="6">
        <v>-10987.5</v>
      </c>
      <c r="M5" s="6">
        <v>-12557.75</v>
      </c>
      <c r="N5" s="7">
        <f t="shared" si="0"/>
        <v>-54224.25</v>
      </c>
    </row>
    <row r="6" spans="1:14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7">
        <f t="shared" si="0"/>
        <v>0</v>
      </c>
    </row>
    <row r="7" spans="1:14" ht="15" thickBot="1">
      <c r="A7" s="1" t="s">
        <v>6</v>
      </c>
      <c r="B7" s="9">
        <f>SUM(B2:B6)</f>
        <v>-102127.4874833333</v>
      </c>
      <c r="C7" s="9">
        <f t="shared" ref="C7:M7" si="1">SUM(C2:C6)</f>
        <v>-89248.799733333319</v>
      </c>
      <c r="D7" s="9">
        <f t="shared" si="1"/>
        <v>-104387.40433333334</v>
      </c>
      <c r="E7" s="9">
        <f t="shared" si="1"/>
        <v>-98837.404333333354</v>
      </c>
      <c r="F7" s="9">
        <f t="shared" si="1"/>
        <v>-82250.531296969668</v>
      </c>
      <c r="G7" s="9">
        <f t="shared" si="1"/>
        <v>-78382.41</v>
      </c>
      <c r="H7" s="9">
        <f t="shared" si="1"/>
        <v>-69512.672352272712</v>
      </c>
      <c r="I7" s="9">
        <f t="shared" si="1"/>
        <v>-96841.547047727261</v>
      </c>
      <c r="J7" s="9">
        <f t="shared" si="1"/>
        <v>-83986.160056818189</v>
      </c>
      <c r="K7" s="9">
        <f t="shared" si="1"/>
        <v>-75433.313071969678</v>
      </c>
      <c r="L7" s="9">
        <f t="shared" si="1"/>
        <v>-71163.401138636371</v>
      </c>
      <c r="M7" s="9">
        <f t="shared" si="1"/>
        <v>-88147.120048328463</v>
      </c>
      <c r="N7" s="9">
        <f t="shared" si="0"/>
        <v>-1040318.2508960556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Tahoun</dc:creator>
  <cp:lastModifiedBy>H Tahoun</cp:lastModifiedBy>
  <dcterms:created xsi:type="dcterms:W3CDTF">2026-10-13T15:55:56Z</dcterms:created>
  <dcterms:modified xsi:type="dcterms:W3CDTF">2026-10-13T15:56:36Z</dcterms:modified>
</cp:coreProperties>
</file>