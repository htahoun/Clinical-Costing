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496b27a4ce170d/Training Materials available/Insurance/Clinical Costing/Clinical Costing Cheiri 2025/"/>
    </mc:Choice>
  </mc:AlternateContent>
  <xr:revisionPtr revIDLastSave="0" documentId="8_{36199591-A526-4058-BF5D-6E67713B5A9B}" xr6:coauthVersionLast="47" xr6:coauthVersionMax="47" xr10:uidLastSave="{00000000-0000-0000-0000-000000000000}"/>
  <bookViews>
    <workbookView xWindow="-108" yWindow="-108" windowWidth="23256" windowHeight="12456" xr2:uid="{1096A4D7-30F8-42AB-930C-03C4ED602F52}"/>
  </bookViews>
  <sheets>
    <sheet name="Monthl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4" i="1" l="1"/>
  <c r="M24" i="1"/>
  <c r="L24" i="1"/>
  <c r="K24" i="1"/>
  <c r="J24" i="1"/>
  <c r="I24" i="1"/>
  <c r="H24" i="1"/>
  <c r="F24" i="1"/>
  <c r="E24" i="1"/>
  <c r="D24" i="1"/>
  <c r="N20" i="1"/>
  <c r="M20" i="1"/>
  <c r="L20" i="1"/>
  <c r="K20" i="1"/>
  <c r="J20" i="1"/>
  <c r="I20" i="1"/>
  <c r="H20" i="1"/>
  <c r="G20" i="1"/>
  <c r="G24" i="1" s="1"/>
  <c r="F20" i="1"/>
  <c r="E20" i="1"/>
  <c r="D20" i="1"/>
  <c r="C20" i="1"/>
  <c r="C24" i="1" s="1"/>
</calcChain>
</file>

<file path=xl/sharedStrings.xml><?xml version="1.0" encoding="utf-8"?>
<sst xmlns="http://schemas.openxmlformats.org/spreadsheetml/2006/main" count="23" uniqueCount="23">
  <si>
    <t>Particulars</t>
  </si>
  <si>
    <t>Cost of Goods Sold</t>
  </si>
  <si>
    <t>Salaries &amp; Wages</t>
  </si>
  <si>
    <t>Third Party &amp; Professional Services</t>
  </si>
  <si>
    <t>Legal &amp; Professional Expenses</t>
  </si>
  <si>
    <t>Repair &amp; Maintenance Expenses</t>
  </si>
  <si>
    <t>Insurance</t>
  </si>
  <si>
    <t>Staff Qualification And Education</t>
  </si>
  <si>
    <t>Office Supplies</t>
  </si>
  <si>
    <t>Pantry</t>
  </si>
  <si>
    <t>Utilities Expenses</t>
  </si>
  <si>
    <t>Travelling &amp; Transportation</t>
  </si>
  <si>
    <t>Other Expenses</t>
  </si>
  <si>
    <t>Marketing</t>
  </si>
  <si>
    <t>Dues &amp; Subscriptions</t>
  </si>
  <si>
    <t>Equipment Maintenanace</t>
  </si>
  <si>
    <t>External Lab</t>
  </si>
  <si>
    <t>Clinic Rent</t>
  </si>
  <si>
    <t>Fines</t>
  </si>
  <si>
    <t>Depreciation Expense</t>
  </si>
  <si>
    <t>Claim Rejection</t>
  </si>
  <si>
    <t>Finance Charges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</si>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</sst>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43" fontId="0" fillId="0" borderId="0" xfId="1" applyFont="1"/>
    <xf numFmtId="4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43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2496b27a4ce170d/Training%20Materials%20available/Insurance/Clinical%20Costing/Clinical%20Costing%20Cheiri%202025/Clinical%20Costing%20Claude/Financial%202025%20Arjun%20Updated%202.xlsx" TargetMode="External"/><Relationship Id="rId1" Type="http://schemas.openxmlformats.org/officeDocument/2006/relationships/externalLinkPath" Target="Clinical%20Costing%20Claude/Financial%202025%20Arjun%20Updated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"/>
      <sheetName val="P&amp;L"/>
      <sheetName val="Monthly"/>
      <sheetName val="Detail1"/>
      <sheetName val="Cash in Hand Summary"/>
      <sheetName val="Rfd to PT &amp; Other INcome"/>
      <sheetName val="Cash_in_hand_2025-01-01_to_2025"/>
      <sheetName val="POS"/>
      <sheetName val="Insurance"/>
      <sheetName val="Direct Receipt"/>
      <sheetName val="Tabby Tamara"/>
      <sheetName val="Fund"/>
      <sheetName val="Refund"/>
      <sheetName val="Treasurt TFR"/>
      <sheetName val="Salary"/>
      <sheetName val="Personal Disallowance"/>
      <sheetName val="Entertainment"/>
      <sheetName val="Detail4"/>
      <sheetName val="Assets"/>
      <sheetName val="Dep"/>
      <sheetName val="Consumption "/>
      <sheetName val="Rent"/>
      <sheetName val="Immigration"/>
      <sheetName val="Insurance Exp"/>
      <sheetName val="Trade License"/>
      <sheetName val="MOI"/>
      <sheetName val="Detail2"/>
      <sheetName val="Detail3"/>
      <sheetName val="Fines"/>
      <sheetName val="Sales"/>
      <sheetName val="Patient Os"/>
      <sheetName val="Claim OS"/>
      <sheetName val="Vat"/>
      <sheetName val="Rejection"/>
      <sheetName val="Detail5"/>
      <sheetName val="Closing Stock"/>
      <sheetName val="Dec St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60">
          <cell r="M160">
            <v>13081.414525683533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C081-2EF5-4694-B789-8D5F9A3797B9}">
  <dimension ref="B1:AC25"/>
  <sheetViews>
    <sheetView tabSelected="1" workbookViewId="0">
      <selection activeCell="O24" sqref="O24:O25"/>
    </sheetView>
  </sheetViews>
  <sheetFormatPr defaultRowHeight="14.4" x14ac:dyDescent="0.3"/>
  <cols>
    <col min="2" max="2" width="32" bestFit="1" customWidth="1"/>
    <col min="3" max="3" width="12.44140625" bestFit="1" customWidth="1"/>
    <col min="4" max="4" width="11.5546875" bestFit="1" customWidth="1"/>
    <col min="5" max="5" width="12.44140625" bestFit="1" customWidth="1"/>
    <col min="6" max="14" width="11.5546875" bestFit="1" customWidth="1"/>
    <col min="15" max="15" width="13.33203125" bestFit="1" customWidth="1"/>
    <col min="16" max="16" width="11.5546875" bestFit="1" customWidth="1"/>
    <col min="28" max="28" width="5.109375" bestFit="1" customWidth="1"/>
  </cols>
  <sheetData>
    <row r="1" spans="2:29" x14ac:dyDescent="0.3">
      <c r="B1" t="s">
        <v>0</v>
      </c>
      <c r="C1" s="1">
        <v>45658</v>
      </c>
      <c r="D1" s="1">
        <v>45689</v>
      </c>
      <c r="E1" s="1">
        <v>45717</v>
      </c>
      <c r="F1" s="1">
        <v>45748</v>
      </c>
      <c r="G1" s="1">
        <v>45778</v>
      </c>
      <c r="H1" s="1">
        <v>45809</v>
      </c>
      <c r="I1" s="1">
        <v>45839</v>
      </c>
      <c r="J1" s="1">
        <v>45870</v>
      </c>
      <c r="K1" s="1">
        <v>45901</v>
      </c>
      <c r="L1" s="1">
        <v>45931</v>
      </c>
      <c r="M1" s="1">
        <v>45962</v>
      </c>
      <c r="N1" s="1">
        <v>45992</v>
      </c>
    </row>
    <row r="2" spans="2:29" x14ac:dyDescent="0.3">
      <c r="B2" t="s">
        <v>1</v>
      </c>
      <c r="C2" s="2">
        <v>102127.4874833333</v>
      </c>
      <c r="D2" s="2">
        <v>89248.799733333319</v>
      </c>
      <c r="E2" s="2">
        <v>104387.40433333334</v>
      </c>
      <c r="F2" s="2">
        <v>98837.404333333354</v>
      </c>
      <c r="G2" s="2">
        <v>82250.531296969668</v>
      </c>
      <c r="H2" s="2">
        <v>78382.41</v>
      </c>
      <c r="I2" s="2">
        <v>69512.672352272712</v>
      </c>
      <c r="J2" s="2">
        <v>96841.547047727261</v>
      </c>
      <c r="K2" s="2">
        <v>83986.160056818189</v>
      </c>
      <c r="L2" s="2">
        <v>75433.313071969678</v>
      </c>
      <c r="M2" s="2">
        <v>71163.401138636371</v>
      </c>
      <c r="N2" s="2">
        <v>88147.120048328463</v>
      </c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2:29" x14ac:dyDescent="0.3">
      <c r="B3" t="s">
        <v>2</v>
      </c>
      <c r="C3" s="2">
        <v>264363</v>
      </c>
      <c r="D3" s="2">
        <v>322885.31</v>
      </c>
      <c r="E3" s="2">
        <v>308962</v>
      </c>
      <c r="F3" s="2">
        <v>240023</v>
      </c>
      <c r="G3" s="2">
        <v>262763.69</v>
      </c>
      <c r="H3" s="2">
        <v>238649.33000000002</v>
      </c>
      <c r="I3" s="2">
        <v>217521.8</v>
      </c>
      <c r="J3" s="2">
        <v>220740</v>
      </c>
      <c r="K3" s="2">
        <v>237189</v>
      </c>
      <c r="L3" s="2">
        <v>289572.33999999997</v>
      </c>
      <c r="M3" s="2">
        <v>259817.96000000002</v>
      </c>
      <c r="N3" s="2">
        <v>303331.51</v>
      </c>
    </row>
    <row r="4" spans="2:29" x14ac:dyDescent="0.3">
      <c r="B4" t="s">
        <v>3</v>
      </c>
      <c r="C4" s="2">
        <v>8317</v>
      </c>
      <c r="D4" s="2">
        <v>37300</v>
      </c>
      <c r="E4" s="2">
        <v>62270</v>
      </c>
      <c r="F4" s="2">
        <v>66480.95</v>
      </c>
      <c r="G4" s="2">
        <v>2500</v>
      </c>
      <c r="H4" s="2">
        <v>37375.730000000003</v>
      </c>
      <c r="I4" s="2">
        <v>25000</v>
      </c>
      <c r="J4" s="2">
        <v>27500</v>
      </c>
      <c r="K4" s="2">
        <v>28000</v>
      </c>
      <c r="L4" s="2">
        <v>25500</v>
      </c>
      <c r="M4" s="2">
        <v>25000</v>
      </c>
      <c r="N4" s="2">
        <v>25104.5</v>
      </c>
    </row>
    <row r="5" spans="2:29" x14ac:dyDescent="0.3">
      <c r="B5" t="s">
        <v>4</v>
      </c>
      <c r="C5" s="2">
        <v>44349.167666666668</v>
      </c>
      <c r="D5" s="2">
        <v>12044.190166666665</v>
      </c>
      <c r="E5" s="2">
        <v>12460.820166666665</v>
      </c>
      <c r="F5" s="2">
        <v>13383.949333333332</v>
      </c>
      <c r="G5" s="2">
        <v>20601.296833333334</v>
      </c>
      <c r="H5" s="2">
        <v>44034.757250000002</v>
      </c>
      <c r="I5" s="2">
        <v>13033.157916666665</v>
      </c>
      <c r="J5" s="2">
        <v>22175.899999999998</v>
      </c>
      <c r="K5" s="2">
        <v>18567.919999999995</v>
      </c>
      <c r="L5" s="2">
        <v>13508.574166666665</v>
      </c>
      <c r="M5" s="2">
        <v>21037.676666666666</v>
      </c>
      <c r="N5" s="2">
        <v>18372.044583333332</v>
      </c>
    </row>
    <row r="6" spans="2:29" x14ac:dyDescent="0.3">
      <c r="B6" t="s">
        <v>5</v>
      </c>
      <c r="C6" s="2">
        <v>3948.75</v>
      </c>
      <c r="D6" s="2">
        <v>701.2</v>
      </c>
      <c r="E6" s="2">
        <v>1519</v>
      </c>
      <c r="F6" s="2">
        <v>2904.65</v>
      </c>
      <c r="G6" s="2">
        <v>418.3</v>
      </c>
      <c r="H6" s="2">
        <v>3500</v>
      </c>
      <c r="I6" s="2">
        <v>579.13</v>
      </c>
      <c r="J6" s="2">
        <v>3615.85</v>
      </c>
      <c r="K6" s="2">
        <v>4075.55</v>
      </c>
      <c r="L6" s="2">
        <v>4223.2</v>
      </c>
      <c r="M6" s="2">
        <v>2824</v>
      </c>
      <c r="N6" s="2">
        <v>704.67000000000007</v>
      </c>
    </row>
    <row r="7" spans="2:29" x14ac:dyDescent="0.3">
      <c r="B7" t="s">
        <v>6</v>
      </c>
      <c r="C7" s="2">
        <v>5939.4016666666666</v>
      </c>
      <c r="D7" s="2">
        <v>5974.6516666666666</v>
      </c>
      <c r="E7" s="2">
        <v>5974.6516666666666</v>
      </c>
      <c r="F7" s="2">
        <v>5974.6516666666666</v>
      </c>
      <c r="G7" s="2">
        <v>5995.8024999999998</v>
      </c>
      <c r="H7" s="2">
        <v>5995.8024999999998</v>
      </c>
      <c r="I7" s="2">
        <v>4564.0108333333337</v>
      </c>
      <c r="J7" s="2">
        <v>1833.1041666666667</v>
      </c>
      <c r="K7" s="2">
        <v>1974.4316666666668</v>
      </c>
      <c r="L7" s="2">
        <v>1974.4316666666668</v>
      </c>
      <c r="M7" s="2">
        <v>2038.4291666666668</v>
      </c>
      <c r="N7" s="2">
        <v>2169.9158333333335</v>
      </c>
    </row>
    <row r="8" spans="2:29" x14ac:dyDescent="0.3">
      <c r="B8" t="s">
        <v>7</v>
      </c>
      <c r="C8" s="2">
        <v>28462.76</v>
      </c>
      <c r="D8" s="2">
        <v>13180.32</v>
      </c>
      <c r="E8" s="2">
        <v>43627.94</v>
      </c>
      <c r="F8" s="2">
        <v>38711.94</v>
      </c>
      <c r="G8" s="2">
        <v>55516.92</v>
      </c>
      <c r="H8" s="2">
        <v>155175.22000000003</v>
      </c>
      <c r="I8" s="2">
        <v>105124.98999999999</v>
      </c>
      <c r="J8" s="2">
        <v>98355.199999999997</v>
      </c>
      <c r="K8" s="2">
        <v>80992.27</v>
      </c>
      <c r="L8" s="2">
        <v>91500.760000000009</v>
      </c>
      <c r="M8" s="2">
        <v>46595.579999999994</v>
      </c>
      <c r="N8" s="2">
        <v>132188.09</v>
      </c>
    </row>
    <row r="9" spans="2:29" x14ac:dyDescent="0.3">
      <c r="B9" t="s">
        <v>8</v>
      </c>
      <c r="C9" s="2">
        <v>783.13</v>
      </c>
      <c r="D9" s="2">
        <v>449.05</v>
      </c>
      <c r="E9" s="2">
        <v>373</v>
      </c>
      <c r="F9" s="2">
        <v>1618.98</v>
      </c>
      <c r="G9" s="2">
        <v>404.77</v>
      </c>
      <c r="H9" s="2">
        <v>1228.67</v>
      </c>
      <c r="I9" s="2">
        <v>340.60999999999996</v>
      </c>
      <c r="J9" s="2">
        <v>481.00999999999993</v>
      </c>
      <c r="K9" s="2">
        <v>1156.6500000000001</v>
      </c>
      <c r="L9" s="2">
        <v>440.57</v>
      </c>
      <c r="M9" s="2">
        <v>237.4</v>
      </c>
      <c r="N9" s="2">
        <v>375.55</v>
      </c>
    </row>
    <row r="10" spans="2:29" x14ac:dyDescent="0.3">
      <c r="B10" t="s">
        <v>9</v>
      </c>
      <c r="C10" s="2">
        <v>1576.0800000000002</v>
      </c>
      <c r="D10" s="2">
        <v>1074.1199999999999</v>
      </c>
      <c r="E10" s="2">
        <v>748.93000000000006</v>
      </c>
      <c r="F10" s="2">
        <v>1483.1000000000001</v>
      </c>
      <c r="G10" s="2">
        <v>705.55000000000007</v>
      </c>
      <c r="H10" s="2">
        <v>1314.1000000000001</v>
      </c>
      <c r="I10" s="2">
        <v>1310.92</v>
      </c>
      <c r="J10" s="2">
        <v>1821.6100000000004</v>
      </c>
      <c r="K10" s="2">
        <v>1056.1500000000001</v>
      </c>
      <c r="L10" s="2">
        <v>1638.3999999999999</v>
      </c>
      <c r="M10" s="2">
        <v>1660.3500000000001</v>
      </c>
      <c r="N10" s="2">
        <v>752.78</v>
      </c>
    </row>
    <row r="11" spans="2:29" x14ac:dyDescent="0.3">
      <c r="B11" t="s">
        <v>10</v>
      </c>
      <c r="C11" s="2">
        <v>4780.25</v>
      </c>
      <c r="D11" s="2">
        <v>4568.37</v>
      </c>
      <c r="E11" s="2">
        <v>4510.1399999999994</v>
      </c>
      <c r="F11" s="2">
        <v>4191.5600000000004</v>
      </c>
      <c r="G11" s="2">
        <v>8334.92</v>
      </c>
      <c r="H11" s="2">
        <v>4350.2599999999993</v>
      </c>
      <c r="I11" s="2">
        <v>4242.7500000000009</v>
      </c>
      <c r="J11" s="2">
        <v>4051.4699999999993</v>
      </c>
      <c r="K11" s="2">
        <v>4127.37</v>
      </c>
      <c r="L11" s="2">
        <v>4358.95</v>
      </c>
      <c r="M11" s="2">
        <v>4242.8999999999996</v>
      </c>
      <c r="N11" s="2">
        <v>4322.6200000000008</v>
      </c>
    </row>
    <row r="12" spans="2:29" x14ac:dyDescent="0.3">
      <c r="B12" t="s">
        <v>11</v>
      </c>
      <c r="C12" s="2">
        <v>1620.78</v>
      </c>
      <c r="D12" s="2">
        <v>2671.4399999999996</v>
      </c>
      <c r="E12" s="2">
        <v>1406.51</v>
      </c>
      <c r="F12" s="2">
        <v>2252.9100000000003</v>
      </c>
      <c r="G12" s="2">
        <v>2285.5299999999997</v>
      </c>
      <c r="H12" s="2">
        <v>1225.52</v>
      </c>
      <c r="I12" s="2">
        <v>5340.9699999999993</v>
      </c>
      <c r="J12" s="2">
        <v>1464.2</v>
      </c>
      <c r="K12" s="2">
        <v>1523</v>
      </c>
      <c r="L12" s="2">
        <v>3348</v>
      </c>
      <c r="M12" s="2">
        <v>2184.0699999999997</v>
      </c>
      <c r="N12" s="2">
        <v>2346.5</v>
      </c>
    </row>
    <row r="13" spans="2:29" x14ac:dyDescent="0.3">
      <c r="B13" t="s">
        <v>12</v>
      </c>
      <c r="C13" s="2">
        <v>2138.7599999999998</v>
      </c>
      <c r="D13" s="2">
        <v>1089.69</v>
      </c>
      <c r="E13" s="2">
        <v>1123.0100000000002</v>
      </c>
      <c r="F13" s="2">
        <v>3789.0699999999997</v>
      </c>
      <c r="G13" s="2">
        <v>1320.49</v>
      </c>
      <c r="H13" s="2">
        <v>989.68</v>
      </c>
      <c r="I13" s="2">
        <v>1127.98</v>
      </c>
      <c r="J13" s="2">
        <v>1253.75</v>
      </c>
      <c r="K13" s="2">
        <v>508.94</v>
      </c>
      <c r="L13" s="2">
        <v>264.83</v>
      </c>
      <c r="M13" s="2">
        <v>316.45</v>
      </c>
      <c r="N13" s="2">
        <v>88.53</v>
      </c>
    </row>
    <row r="14" spans="2:29" x14ac:dyDescent="0.3">
      <c r="B14" t="s">
        <v>13</v>
      </c>
      <c r="C14" s="2">
        <v>5820.1100000000006</v>
      </c>
      <c r="D14" s="2">
        <v>2380.8599999999997</v>
      </c>
      <c r="E14" s="2">
        <v>4382.51</v>
      </c>
      <c r="F14" s="2">
        <v>4044.86</v>
      </c>
      <c r="G14" s="2">
        <v>4998.5800000000008</v>
      </c>
      <c r="H14" s="2">
        <v>8392.9399999999987</v>
      </c>
      <c r="I14" s="2">
        <v>3713.1099999999992</v>
      </c>
      <c r="J14" s="2">
        <v>5896.89</v>
      </c>
      <c r="K14" s="2">
        <v>2707.2299999999996</v>
      </c>
      <c r="L14" s="2">
        <v>1973.75</v>
      </c>
      <c r="M14" s="2">
        <v>8600.3000000000011</v>
      </c>
      <c r="N14" s="2">
        <v>2478.75</v>
      </c>
    </row>
    <row r="15" spans="2:29" x14ac:dyDescent="0.3">
      <c r="B15" t="s">
        <v>14</v>
      </c>
      <c r="C15" s="2">
        <v>5585</v>
      </c>
      <c r="D15" s="2">
        <v>9203.2799999999988</v>
      </c>
      <c r="E15" s="2">
        <v>8414.2799999999988</v>
      </c>
      <c r="F15" s="2">
        <v>2000</v>
      </c>
      <c r="G15" s="2">
        <v>6503.7</v>
      </c>
      <c r="H15" s="2">
        <v>10028.039999999999</v>
      </c>
      <c r="I15" s="2">
        <v>99.54</v>
      </c>
      <c r="J15" s="2">
        <v>1842.4299999999998</v>
      </c>
      <c r="K15" s="2">
        <v>15774.05</v>
      </c>
      <c r="L15" s="2">
        <v>6523.81</v>
      </c>
      <c r="M15" s="2">
        <v>8884.18</v>
      </c>
      <c r="N15" s="2">
        <v>5667.86</v>
      </c>
    </row>
    <row r="16" spans="2:29" x14ac:dyDescent="0.3">
      <c r="B16" t="s">
        <v>15</v>
      </c>
      <c r="C16" s="2">
        <v>1000</v>
      </c>
      <c r="D16" s="2">
        <v>2258.5700000000002</v>
      </c>
      <c r="E16" s="2"/>
      <c r="F16" s="2">
        <v>830</v>
      </c>
      <c r="G16" s="2"/>
      <c r="H16" s="2"/>
      <c r="I16" s="2"/>
      <c r="J16" s="2"/>
      <c r="K16" s="2"/>
      <c r="L16" s="2">
        <v>1350</v>
      </c>
      <c r="M16" s="2"/>
      <c r="N16" s="2">
        <v>200</v>
      </c>
    </row>
    <row r="17" spans="2:15" x14ac:dyDescent="0.3">
      <c r="B17" t="s">
        <v>16</v>
      </c>
      <c r="C17" s="2">
        <v>1870</v>
      </c>
      <c r="D17" s="2">
        <v>200</v>
      </c>
      <c r="E17" s="2">
        <v>16430</v>
      </c>
      <c r="F17" s="2">
        <v>4288</v>
      </c>
      <c r="G17" s="2">
        <v>7425</v>
      </c>
      <c r="H17" s="2">
        <v>0</v>
      </c>
      <c r="I17" s="2">
        <v>5270</v>
      </c>
      <c r="J17" s="2">
        <v>6381</v>
      </c>
      <c r="K17" s="2">
        <v>1150</v>
      </c>
      <c r="L17" s="2">
        <v>950</v>
      </c>
      <c r="M17" s="2">
        <v>10595</v>
      </c>
      <c r="N17" s="2">
        <v>12186.25</v>
      </c>
    </row>
    <row r="18" spans="2:15" x14ac:dyDescent="0.3">
      <c r="B18" t="s">
        <v>17</v>
      </c>
      <c r="C18" s="2">
        <v>7083.333333333333</v>
      </c>
      <c r="D18" s="2">
        <v>7083.333333333333</v>
      </c>
      <c r="E18" s="2">
        <v>7083.333333333333</v>
      </c>
      <c r="F18" s="2">
        <v>7083.333333333333</v>
      </c>
      <c r="G18" s="2">
        <v>7083.333333333333</v>
      </c>
      <c r="H18" s="2">
        <v>7083.333333333333</v>
      </c>
      <c r="I18" s="2">
        <v>7083.333333333333</v>
      </c>
      <c r="J18" s="2">
        <v>7083.333333333333</v>
      </c>
      <c r="K18" s="2">
        <v>7083.333333333333</v>
      </c>
      <c r="L18" s="2">
        <v>7083.333333333333</v>
      </c>
      <c r="M18" s="2">
        <v>7083.333333333333</v>
      </c>
      <c r="N18" s="2">
        <v>7083.333333333333</v>
      </c>
    </row>
    <row r="19" spans="2:15" x14ac:dyDescent="0.3">
      <c r="B19" t="s">
        <v>18</v>
      </c>
      <c r="C19" s="2">
        <v>1635</v>
      </c>
      <c r="D19" s="2">
        <v>263</v>
      </c>
      <c r="E19" s="2"/>
      <c r="F19" s="2">
        <v>1278</v>
      </c>
      <c r="G19" s="2"/>
      <c r="H19" s="2">
        <v>1031</v>
      </c>
      <c r="I19" s="2"/>
      <c r="J19" s="2">
        <v>8435.119999999999</v>
      </c>
      <c r="K19" s="2">
        <v>1503</v>
      </c>
      <c r="L19" s="2"/>
      <c r="M19" s="2">
        <v>2242.91</v>
      </c>
      <c r="N19" s="2">
        <v>625</v>
      </c>
    </row>
    <row r="20" spans="2:15" x14ac:dyDescent="0.3">
      <c r="B20" t="s">
        <v>19</v>
      </c>
      <c r="C20" s="2">
        <f>+[1]Dep!$M$160</f>
        <v>13081.414525683533</v>
      </c>
      <c r="D20" s="2">
        <f>+[1]Dep!$M$160</f>
        <v>13081.414525683533</v>
      </c>
      <c r="E20" s="2">
        <f>+[1]Dep!$M$160</f>
        <v>13081.414525683533</v>
      </c>
      <c r="F20" s="2">
        <f>+[1]Dep!$M$160</f>
        <v>13081.414525683533</v>
      </c>
      <c r="G20" s="2">
        <f>+[1]Dep!$M$160</f>
        <v>13081.414525683533</v>
      </c>
      <c r="H20" s="2">
        <f>+[1]Dep!$M$160</f>
        <v>13081.414525683533</v>
      </c>
      <c r="I20" s="2">
        <f>+[1]Dep!$M$160</f>
        <v>13081.414525683533</v>
      </c>
      <c r="J20" s="2">
        <f>+[1]Dep!$M$160</f>
        <v>13081.414525683533</v>
      </c>
      <c r="K20" s="2">
        <f>+[1]Dep!$M$160</f>
        <v>13081.414525683533</v>
      </c>
      <c r="L20" s="2">
        <f>+[1]Dep!$M$160</f>
        <v>13081.414525683533</v>
      </c>
      <c r="M20" s="2">
        <f>+[1]Dep!$M$160</f>
        <v>13081.414525683533</v>
      </c>
      <c r="N20" s="2">
        <f>+[1]Dep!$M$160</f>
        <v>13081.414525683533</v>
      </c>
    </row>
    <row r="21" spans="2:15" x14ac:dyDescent="0.3">
      <c r="B21" t="s">
        <v>20</v>
      </c>
      <c r="C21" s="2">
        <v>0</v>
      </c>
      <c r="D21" s="2">
        <v>0</v>
      </c>
      <c r="E21" s="2">
        <v>844.2</v>
      </c>
      <c r="F21" s="2">
        <v>0</v>
      </c>
      <c r="G21" s="2">
        <v>0</v>
      </c>
      <c r="H21" s="2">
        <v>245</v>
      </c>
      <c r="I21" s="2">
        <v>0</v>
      </c>
      <c r="J21" s="2">
        <v>0</v>
      </c>
      <c r="K21" s="2">
        <v>1005</v>
      </c>
      <c r="L21" s="2">
        <v>-32</v>
      </c>
      <c r="M21" s="2">
        <v>1235</v>
      </c>
      <c r="N21" s="2">
        <v>105</v>
      </c>
    </row>
    <row r="22" spans="2:15" x14ac:dyDescent="0.3">
      <c r="B22" t="s">
        <v>21</v>
      </c>
      <c r="C22" s="2">
        <v>6820.88</v>
      </c>
      <c r="D22" s="2">
        <v>6684.05</v>
      </c>
      <c r="E22" s="2">
        <v>9269.73</v>
      </c>
      <c r="F22" s="2">
        <v>5865.9000000000005</v>
      </c>
      <c r="G22" s="2">
        <v>5876.86</v>
      </c>
      <c r="H22" s="2">
        <v>4410.88</v>
      </c>
      <c r="I22" s="2">
        <v>3220.43</v>
      </c>
      <c r="J22" s="2">
        <v>4136.2700000000004</v>
      </c>
      <c r="K22" s="2">
        <v>4080.58</v>
      </c>
      <c r="L22" s="2">
        <v>4032.2999999999997</v>
      </c>
      <c r="M22" s="2">
        <v>4905.68</v>
      </c>
      <c r="N22" s="2">
        <v>3702.29</v>
      </c>
    </row>
    <row r="24" spans="2:15" ht="15" thickBot="1" x14ac:dyDescent="0.35">
      <c r="B24" s="5" t="s">
        <v>22</v>
      </c>
      <c r="C24" s="6">
        <f>SUM(C2:C23)</f>
        <v>511302.30467568361</v>
      </c>
      <c r="D24" s="6">
        <f t="shared" ref="D24:N24" si="0">SUM(D2:D23)</f>
        <v>532341.64942568354</v>
      </c>
      <c r="E24" s="6">
        <f t="shared" si="0"/>
        <v>606868.87402568362</v>
      </c>
      <c r="F24" s="6">
        <f t="shared" si="0"/>
        <v>518123.67319235019</v>
      </c>
      <c r="G24" s="6">
        <f t="shared" si="0"/>
        <v>488066.68848931987</v>
      </c>
      <c r="H24" s="6">
        <f t="shared" si="0"/>
        <v>616494.08760901692</v>
      </c>
      <c r="I24" s="6">
        <f t="shared" si="0"/>
        <v>480166.81896128942</v>
      </c>
      <c r="J24" s="6">
        <f t="shared" si="0"/>
        <v>526990.09907341085</v>
      </c>
      <c r="K24" s="6">
        <f t="shared" si="0"/>
        <v>509542.0495825017</v>
      </c>
      <c r="L24" s="6">
        <f t="shared" si="0"/>
        <v>546725.97676431993</v>
      </c>
      <c r="M24" s="6">
        <f t="shared" si="0"/>
        <v>493746.03483098646</v>
      </c>
      <c r="N24" s="6">
        <f t="shared" si="0"/>
        <v>623033.72832401213</v>
      </c>
      <c r="O24" s="3"/>
    </row>
    <row r="25" spans="2:15" ht="15" thickTop="1" x14ac:dyDescent="0.3">
      <c r="O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Tahoun</dc:creator>
  <cp:lastModifiedBy>H Tahoun</cp:lastModifiedBy>
  <dcterms:created xsi:type="dcterms:W3CDTF">2026-10-10T16:37:44Z</dcterms:created>
  <dcterms:modified xsi:type="dcterms:W3CDTF">2026-10-10T16:38:50Z</dcterms:modified>
</cp:coreProperties>
</file>