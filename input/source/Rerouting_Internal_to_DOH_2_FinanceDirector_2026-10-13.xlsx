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3294316-8477-4F21-9C81-53F4B20224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routing table" sheetId="1" r:id="rId1"/>
    <sheet name="Missing from Arjun" sheetId="2" r:id="rId2"/>
    <sheet name="Legend" sheetId="3" r:id="rId3"/>
  </sheets>
  <definedNames>
    <definedName name="_xlnm._FilterDatabase" localSheetId="0" hidden="1">'Rerouting table'!$A$1:$J$50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24" i="1"/>
  <c r="B26" i="1"/>
</calcChain>
</file>

<file path=xl/sharedStrings.xml><?xml version="1.0" encoding="utf-8"?>
<sst xmlns="http://schemas.openxmlformats.org/spreadsheetml/2006/main" count="422" uniqueCount="224">
  <si>
    <t>Internal ledger head (our language)</t>
  </si>
  <si>
    <t>Head FY2025 AED (accrual)</t>
  </si>
  <si>
    <t>Internal sub-category / line</t>
  </si>
  <si>
    <t>What it is</t>
  </si>
  <si>
    <t>DOH cost type (Appendix 1)</t>
  </si>
  <si>
    <t>Cost-centre class (Stage 2)</t>
  </si>
  <si>
    <t>DOH bucket (bucket rules)</t>
  </si>
  <si>
    <t>Standard basis</t>
  </si>
  <si>
    <t>Confidence</t>
  </si>
  <si>
    <t>Indicative FY2025 AED of the line</t>
  </si>
  <si>
    <t>Cost of Goods Sold</t>
  </si>
  <si>
    <t>02- Drugs / 01- Local Anaesthetics</t>
  </si>
  <si>
    <t>local anaesthetic cartridges</t>
  </si>
  <si>
    <t>Pharmacy</t>
  </si>
  <si>
    <t>Direct</t>
  </si>
  <si>
    <t>Anaesthesia 100%</t>
  </si>
  <si>
    <t>App.1 Pharmacy: drugs and services</t>
  </si>
  <si>
    <t>CONFIRMED (ruling)</t>
  </si>
  <si>
    <t>see monthly stock movement (Jan: 682)</t>
  </si>
  <si>
    <t>04- Dental Materials / 02- Nitrous &amp; Oxygen Sedation</t>
  </si>
  <si>
    <t>sedation gases</t>
  </si>
  <si>
    <t>see monthly stock movement (Jan: 570)</t>
  </si>
  <si>
    <t>02- Drugs / 03- Vital Signs, 04- Needles &amp; Syringes</t>
  </si>
  <si>
    <t>needles, syringes, emergency supplies</t>
  </si>
  <si>
    <t>MS</t>
  </si>
  <si>
    <t>Dental 100%</t>
  </si>
  <si>
    <t>App.1 MS: all other medical and surgical supplies</t>
  </si>
  <si>
    <t>CONFIRMED</t>
  </si>
  <si>
    <t>see monthly stock movement (Jan: 2,338)</t>
  </si>
  <si>
    <t>05- Implants (fixtures, screws, abutments, impression tools, bone graft)</t>
  </si>
  <si>
    <t>implants and implant accessories</t>
  </si>
  <si>
    <t>Prostheses</t>
  </si>
  <si>
    <t>Prosthesis 100%</t>
  </si>
  <si>
    <t>App.1 Prostheses: implantable devices and human tissue</t>
  </si>
  <si>
    <t>see monthly stock movement (Jan: 52,796)</t>
  </si>
  <si>
    <t>06- Laboratory (blocks, blanks, 3D inks, stone, stains, milling tools)</t>
  </si>
  <si>
    <t>in-house dental laboratory materials</t>
  </si>
  <si>
    <t>Laboratory</t>
  </si>
  <si>
    <t>Laboratory 100%</t>
  </si>
  <si>
    <t>App.1 Laboratory: laboratory supplies</t>
  </si>
  <si>
    <t>External LAB (cost of goods sold line)</t>
  </si>
  <si>
    <t>outsourced laboratory invoices</t>
  </si>
  <si>
    <t>App.1 Laboratory: actual cost as billed by a provider</t>
  </si>
  <si>
    <t>04- Dental Materials (restorative, endodontic, burs, impression, bleaching, scaling, surgical, orthodontic)</t>
  </si>
  <si>
    <t>dental consumables</t>
  </si>
  <si>
    <t>App.1 MS</t>
  </si>
  <si>
    <t>see monthly stock movement (Jan: 17,572)</t>
  </si>
  <si>
    <t>03- Prevention &amp; Control of Infection (PPE, disinfectants, wraps, monitoring)</t>
  </si>
  <si>
    <t>infection-control supplies</t>
  </si>
  <si>
    <t>see monthly stock movement (Jan: 6,169)</t>
  </si>
  <si>
    <t>01- Medical &amp; LAB Devices / hand instruments expensed on issue</t>
  </si>
  <si>
    <t>small instruments and devices</t>
  </si>
  <si>
    <t>see monthly stock movement (Jan: 5,583)</t>
  </si>
  <si>
    <t>08- Facility Management (pantry, stationery from stock)</t>
  </si>
  <si>
    <t>pantry and stationery issued from stock</t>
  </si>
  <si>
    <t>OHF</t>
  </si>
  <si>
    <t>Overhead</t>
  </si>
  <si>
    <t>App.1 OHF: expenses of overhead cost centres</t>
  </si>
  <si>
    <t>Salaries &amp; Wages</t>
  </si>
  <si>
    <t>Direct Dr</t>
  </si>
  <si>
    <t>dentists, oral surgeon, orthodontist</t>
  </si>
  <si>
    <t>SWDoc</t>
  </si>
  <si>
    <t>Anaesthesia 2%, Dental 98%</t>
  </si>
  <si>
    <t>App.1 SWDoc: salaries and wages medical</t>
  </si>
  <si>
    <t>Nurse/licensed, Nurse/No License</t>
  </si>
  <si>
    <t>dental nurses and assistants</t>
  </si>
  <si>
    <t>SWNurs</t>
  </si>
  <si>
    <t>Anaesthesia 1%, Imaging 4%, Dental 95%</t>
  </si>
  <si>
    <t>App.1 SWNurs</t>
  </si>
  <si>
    <t>Cssd</t>
  </si>
  <si>
    <t>sterilisation technicians</t>
  </si>
  <si>
    <t>SWAllied</t>
  </si>
  <si>
    <t>Laboratory (lab share), Dental (lab share)</t>
  </si>
  <si>
    <t>App.1 SWAllied incl. technicians (ruling: CSSD is direct)</t>
  </si>
  <si>
    <t>Indirect/LAB</t>
  </si>
  <si>
    <t>dental laboratory technicians</t>
  </si>
  <si>
    <t>App.1 SWAllied incl. technicians; App.2 Laboratory includes lab staff</t>
  </si>
  <si>
    <t>Indirect/RAP</t>
  </si>
  <si>
    <t>registrations and appointments (reception, patient administration)</t>
  </si>
  <si>
    <t>App.3 Patient Administration is an overhead cost centre</t>
  </si>
  <si>
    <t>CONFIRMED (your definition)</t>
  </si>
  <si>
    <t>Indirect /INS</t>
  </si>
  <si>
    <t>insurance department management (claims)</t>
  </si>
  <si>
    <t>App.3 Patient Administration / Finance overhead cost centres</t>
  </si>
  <si>
    <t>Indirect /Management</t>
  </si>
  <si>
    <t>clinic management</t>
  </si>
  <si>
    <t>App.3 Executive Services (Management)</t>
  </si>
  <si>
    <t>Indirect /Purchase, Indirect/Accounts, Indirect it, Indirect/ Hr</t>
  </si>
  <si>
    <t>purchasing, accounts, IT, HR</t>
  </si>
  <si>
    <t>App.3 Finance / Computing / Human Resources</t>
  </si>
  <si>
    <t>External</t>
  </si>
  <si>
    <t>external staff consultants: accountants, quality managers, insurance auditors</t>
  </si>
  <si>
    <t>Definition 2.24 overhead: finance, quality and administrative functions; App.3 Finance</t>
  </si>
  <si>
    <t>Third Party &amp; Professional Services</t>
  </si>
  <si>
    <t>08- Management of Information: MySmyle EMR subscription, management consultancy and IT services</t>
  </si>
  <si>
    <t>sister-company recharge for EMR, management and IT</t>
  </si>
  <si>
    <t>OHC</t>
  </si>
  <si>
    <t>App.1 OHC: overheads from corporate office / shared services</t>
  </si>
  <si>
    <t>INFERRED (cash ledger)</t>
  </si>
  <si>
    <t>07- 3rd Party Consultancy: Calibrate claims service, Platform Technologies costing submission</t>
  </si>
  <si>
    <t>outsourced claims and costing services</t>
  </si>
  <si>
    <t>App.3 Patient Administration / Finance</t>
  </si>
  <si>
    <t>Legal &amp; Professional Expenses</t>
  </si>
  <si>
    <t>04- DOH: facility licence renewal</t>
  </si>
  <si>
    <t>facility licence</t>
  </si>
  <si>
    <t>facility-level regulatory cost</t>
  </si>
  <si>
    <t>NEEDS GL DETAIL</t>
  </si>
  <si>
    <t>04- DOH: clinician licence issuance / renewal, Dataflow, CME</t>
  </si>
  <si>
    <t>dentists' and nurses' professional licences</t>
  </si>
  <si>
    <t>SWDoc / SWNurs (on-cost)</t>
  </si>
  <si>
    <t>App.1 Cost of Labour: salaries, wages and on-costs follow the staff category</t>
  </si>
  <si>
    <t>02- Immigration and Labor: visas, work permits, labour cards</t>
  </si>
  <si>
    <t>staff visa and labour on-costs</t>
  </si>
  <si>
    <t>on-cost by staff category (SWDoc / SWNurs / SWAllied / OHF)</t>
  </si>
  <si>
    <t>Mixed</t>
  </si>
  <si>
    <t>follows the staff category</t>
  </si>
  <si>
    <t>App.1 Cost of Labour: on-costs</t>
  </si>
  <si>
    <t>01- Trade licence, 03- Civil Defense, 15- Tenancy contract fees</t>
  </si>
  <si>
    <t>trade licence, fire safety, lease registration</t>
  </si>
  <si>
    <t>App.1 OHF</t>
  </si>
  <si>
    <t>05- Jawda / Tasneef / ADHICS / Malaffi</t>
  </si>
  <si>
    <t>accreditation and information-security audits</t>
  </si>
  <si>
    <t>App.1 OHF; App.3 Executive Services</t>
  </si>
  <si>
    <t>10- Transportation (PRO runs)</t>
  </si>
  <si>
    <t>government-service transport</t>
  </si>
  <si>
    <t>Staff Qualification And Education</t>
  </si>
  <si>
    <t>04- Staff Benefits and Bonus, 07- Staff Final Settlement, 05- Training</t>
  </si>
  <si>
    <t>benefits, bonuses, end-of-service, training</t>
  </si>
  <si>
    <t>App.1 Cost of Labour: on-costs follow the staff category</t>
  </si>
  <si>
    <t>02- Immigration and Labor (if booked here rather than Legal)</t>
  </si>
  <si>
    <t>visas and labour on-costs</t>
  </si>
  <si>
    <t>on-cost by staff category</t>
  </si>
  <si>
    <t>08- Management of Information (if booked here): software, servers, IT security</t>
  </si>
  <si>
    <t>clinic IT</t>
  </si>
  <si>
    <t>App.3 Computing</t>
  </si>
  <si>
    <t>MySmyle staff salaries paid through VDC (cash ledger 'Mysmyle Indirect Staff Salary')</t>
  </si>
  <si>
    <t>sister-company payroll routed through the clinic</t>
  </si>
  <si>
    <t>OHC if VDC bears it; excluded if recoverable from MySmyle</t>
  </si>
  <si>
    <t>App.1 OHC: shared services; Standard 3.1.2 offsets and recoveries</t>
  </si>
  <si>
    <t>Repair &amp; Maintenance Expenses</t>
  </si>
  <si>
    <t>01- General Maintenance</t>
  </si>
  <si>
    <t>premises maintenance supplies and works</t>
  </si>
  <si>
    <t>App.3 Maintenance, Engineering &amp; Repairs</t>
  </si>
  <si>
    <t>Insurance</t>
  </si>
  <si>
    <t>Daman staff health insurance (prepaid, amortised)</t>
  </si>
  <si>
    <t>staff medical insurance</t>
  </si>
  <si>
    <t>INFERRED (Insurance Exp sheet)</t>
  </si>
  <si>
    <t>Malpractice / property insurance (if any)</t>
  </si>
  <si>
    <t>professional indemnity, property</t>
  </si>
  <si>
    <t>SWDoc on-cost / OHF</t>
  </si>
  <si>
    <t>App.3 Medical Indemnity Insurance; Insurance - Property</t>
  </si>
  <si>
    <t>Office Supplies</t>
  </si>
  <si>
    <t>02- Office Supplies and Stationery</t>
  </si>
  <si>
    <t>stationery, printer ink, newspapers</t>
  </si>
  <si>
    <t>Pantry</t>
  </si>
  <si>
    <t>05- Pantry: staff refreshments, cleaning products, water</t>
  </si>
  <si>
    <t>pantry and cleaning consumables</t>
  </si>
  <si>
    <t>App.1 OHF (patient refreshments would be Hotel; immaterial)</t>
  </si>
  <si>
    <t>Utilities Expenses</t>
  </si>
  <si>
    <t>03- Utilities and Communications: ADDC, Etisalat, Doocti telephony</t>
  </si>
  <si>
    <t>electricity, water, telephone, internet</t>
  </si>
  <si>
    <t>App.3 Utilities / Telecommunications</t>
  </si>
  <si>
    <t>Travelling &amp; Transportation</t>
  </si>
  <si>
    <t>04- Transportation and Vehicle</t>
  </si>
  <si>
    <t>taxis, parking, fuel</t>
  </si>
  <si>
    <t>Other Expenses</t>
  </si>
  <si>
    <t>07- Miscellaneous: courier, flags, sundries</t>
  </si>
  <si>
    <t>sundry administration</t>
  </si>
  <si>
    <t>Marketing</t>
  </si>
  <si>
    <t>09- Marketing and Advertisement: Meta, WhatsApp API, Adobe, promotions</t>
  </si>
  <si>
    <t>marketing</t>
  </si>
  <si>
    <t>App.3 Public Relations &amp; Marketing</t>
  </si>
  <si>
    <t>Dues &amp; Subscriptions</t>
  </si>
  <si>
    <t>software subscriptions (Dok32, Microsoft 365, hosting), memberships</t>
  </si>
  <si>
    <t>clinic software and memberships</t>
  </si>
  <si>
    <t>Equipment Maintenanace</t>
  </si>
  <si>
    <t>04- Equipments Maintenance</t>
  </si>
  <si>
    <t>dental chairs and clinical equipment service</t>
  </si>
  <si>
    <t>GS</t>
  </si>
  <si>
    <t>App.1 GS: other goods and services in direct cost centres</t>
  </si>
  <si>
    <t>External Lab</t>
  </si>
  <si>
    <t>05/06- External Lab invoices (expense head)</t>
  </si>
  <si>
    <t>outsourced laboratory work</t>
  </si>
  <si>
    <t>App.1 Laboratory: actual cost as billed</t>
  </si>
  <si>
    <t>Clinic Rent</t>
  </si>
  <si>
    <t>06- Rent: unit 1302, 85,000 / year</t>
  </si>
  <si>
    <t>clinic premises lease</t>
  </si>
  <si>
    <t>facility overhead allocated to Dental by floor space (App.3 Floor)</t>
  </si>
  <si>
    <t>Fines</t>
  </si>
  <si>
    <t>regulatory, traffic and insurance fines</t>
  </si>
  <si>
    <t>fines</t>
  </si>
  <si>
    <t>Standard 3.1.1: all GL expenses except balance-sheet items (kept; confirm)</t>
  </si>
  <si>
    <t>CONFIRMED (kept)</t>
  </si>
  <si>
    <t>Depreciation Expense</t>
  </si>
  <si>
    <t>Acc. Dep - Machinery &amp; Equipment</t>
  </si>
  <si>
    <t>dental chairs, OPG / X-ray, autoclaves, lab equipment</t>
  </si>
  <si>
    <t>Depreciation</t>
  </si>
  <si>
    <t>Imaging 4%, Dental 96%</t>
  </si>
  <si>
    <t>App.1 Depreciation in direct cost centres (4 % to Imaging bucket by ruling)</t>
  </si>
  <si>
    <t>Acc. Dep - Furniture &amp; Fittings, Office Equipment, Computers, Software</t>
  </si>
  <si>
    <t>fit-out, office equipment, IT</t>
  </si>
  <si>
    <t>OHDepreciation</t>
  </si>
  <si>
    <t>App.1 OH Depreciation</t>
  </si>
  <si>
    <t>Claim Rejection</t>
  </si>
  <si>
    <t>written-off rejected claims</t>
  </si>
  <si>
    <t>revenue write-off booked as expense</t>
  </si>
  <si>
    <t>kept per locked ledger; arguably a revenue adjustment (confirm)</t>
  </si>
  <si>
    <t>Finance Charges</t>
  </si>
  <si>
    <t>11- Bank Charges: card and bank fees</t>
  </si>
  <si>
    <t>bank and card charges</t>
  </si>
  <si>
    <t>App.1 OHF (financing costs are not excluded by the Standard; confirm)</t>
  </si>
  <si>
    <t>What is still needed to finish the rerouting at account level</t>
  </si>
  <si>
    <t>M1. Staff Qualification And Education (889,431.99): the account-level lines. Which part is staff on-costs (benefits, end-of-service, training, visas) by staff category, which part is IT (Management of Information), and whether MySmyle staff salaries paid through VDC sit inside it.</t>
  </si>
  <si>
    <t>M2. Legal &amp; Professional Expenses (253,569.45): split between facility licence / trade licence / civil defence / accreditation (overhead) and clinician licences and visas (labour on-costs by staff category).</t>
  </si>
  <si>
    <t>M3. Insurance (50,409.29): staff medical (on-cost by staff category) versus malpractice or property.</t>
  </si>
  <si>
    <t>M4. Dues &amp; Subscriptions (80,526.17): which subscriptions serve the clinic rooms (direct GS) versus administration/IT (OHF).</t>
  </si>
  <si>
    <t>M5. Third Party &amp; Professional Services (370,348.18): confirm it is the MySmyle EMR/management/IT recharge (OHC) plus Calibrate / Platform Technologies (OHF).</t>
  </si>
  <si>
    <t>M6. For on-costs: the allocation key you want (headcount per category, or salary per category) — I propose salary per category.</t>
  </si>
  <si>
    <t>M7. The eleven monthly stock-movement sheets (February to December) to split Cost of Goods Sold as January was split.</t>
  </si>
  <si>
    <t>CONFIRMED: a ruling of the Finance Director or an itemised source (payroll roles, stock movement, depreciation classes).</t>
  </si>
  <si>
    <t>INFERRED: composition read from the cash ledger sub-categories; amounts indicative (cash, not accrual).</t>
  </si>
  <si>
    <t>NEEDS GL DETAIL: the accrual head mixes items that the Standard places differently; only the account-level lines can split it.</t>
  </si>
  <si>
    <t>On-cost: Appendix 1 Cost of Labour = salaries, wages and on-costs, so visas, licences, benefits, end-of-service and staff insurance follow the staff category they belong to.</t>
  </si>
  <si>
    <t>DOH bucket column: the fixed bucket shares of scripts/bucket_rules.py (10 Oct 2026 rulings); on-costs take the bucket of their staff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</si>
</sst>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2" sqref="C2:C11"/>
    </sheetView>
  </sheetViews>
  <sheetFormatPr defaultRowHeight="14.5" x14ac:dyDescent="0.35"/>
  <cols>
    <col min="1" max="1" width="24.6328125" customWidth="1"/>
    <col min="2" max="2" width="16" customWidth="1"/>
    <col min="3" max="3" width="52" customWidth="1"/>
    <col min="4" max="4" width="23.7265625" customWidth="1"/>
    <col min="5" max="5" width="18.36328125" customWidth="1"/>
    <col min="6" max="6" width="16" customWidth="1"/>
    <col min="7" max="7" width="30" customWidth="1"/>
    <col min="8" max="8" width="50" customWidth="1"/>
    <col min="9" max="9" width="22" customWidth="1"/>
    <col min="10" max="10" width="18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 x14ac:dyDescent="0.35">
      <c r="A2" s="2" t="s">
        <v>10</v>
      </c>
      <c r="B2" s="3">
        <v>1040318.2508960559</v>
      </c>
      <c r="C2" s="9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 t="s">
        <v>17</v>
      </c>
      <c r="J2" s="3" t="s">
        <v>18</v>
      </c>
    </row>
    <row r="3" spans="1:10" ht="43.5" x14ac:dyDescent="0.35">
      <c r="A3" s="2" t="s">
        <v>10</v>
      </c>
      <c r="B3" s="3">
        <v>1040318.2508960559</v>
      </c>
      <c r="C3" s="9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4" t="s">
        <v>17</v>
      </c>
      <c r="J3" s="3" t="s">
        <v>21</v>
      </c>
    </row>
    <row r="4" spans="1:10" ht="43.5" x14ac:dyDescent="0.35">
      <c r="A4" s="2" t="s">
        <v>10</v>
      </c>
      <c r="B4" s="3">
        <v>1040318.2508960559</v>
      </c>
      <c r="C4" s="9" t="s">
        <v>22</v>
      </c>
      <c r="D4" s="2" t="s">
        <v>23</v>
      </c>
      <c r="E4" s="2" t="s">
        <v>24</v>
      </c>
      <c r="F4" s="2" t="s">
        <v>14</v>
      </c>
      <c r="G4" s="2" t="s">
        <v>25</v>
      </c>
      <c r="H4" s="2" t="s">
        <v>26</v>
      </c>
      <c r="I4" s="4" t="s">
        <v>27</v>
      </c>
      <c r="J4" s="3" t="s">
        <v>28</v>
      </c>
    </row>
    <row r="5" spans="1:10" ht="43.5" x14ac:dyDescent="0.35">
      <c r="A5" s="2" t="s">
        <v>10</v>
      </c>
      <c r="B5" s="3">
        <v>1040318.2508960559</v>
      </c>
      <c r="C5" s="9" t="s">
        <v>29</v>
      </c>
      <c r="D5" s="2" t="s">
        <v>30</v>
      </c>
      <c r="E5" s="2" t="s">
        <v>31</v>
      </c>
      <c r="F5" s="2" t="s">
        <v>14</v>
      </c>
      <c r="G5" s="2" t="s">
        <v>32</v>
      </c>
      <c r="H5" s="2" t="s">
        <v>33</v>
      </c>
      <c r="I5" s="4" t="s">
        <v>17</v>
      </c>
      <c r="J5" s="3" t="s">
        <v>34</v>
      </c>
    </row>
    <row r="6" spans="1:10" ht="29" x14ac:dyDescent="0.35">
      <c r="A6" s="2" t="s">
        <v>10</v>
      </c>
      <c r="B6" s="3">
        <v>1040318.2508960559</v>
      </c>
      <c r="C6" s="9" t="s">
        <v>35</v>
      </c>
      <c r="D6" s="2" t="s">
        <v>36</v>
      </c>
      <c r="E6" s="2" t="s">
        <v>37</v>
      </c>
      <c r="F6" s="2" t="s">
        <v>14</v>
      </c>
      <c r="G6" s="2" t="s">
        <v>38</v>
      </c>
      <c r="H6" s="2" t="s">
        <v>39</v>
      </c>
      <c r="I6" s="4" t="s">
        <v>27</v>
      </c>
      <c r="J6" s="3">
        <v>195736.94882863149</v>
      </c>
    </row>
    <row r="7" spans="1:10" x14ac:dyDescent="0.35">
      <c r="A7" s="2" t="s">
        <v>10</v>
      </c>
      <c r="B7" s="3">
        <v>1040318.2508960559</v>
      </c>
      <c r="C7" s="9" t="s">
        <v>40</v>
      </c>
      <c r="D7" s="2" t="s">
        <v>41</v>
      </c>
      <c r="E7" s="2" t="s">
        <v>37</v>
      </c>
      <c r="F7" s="2" t="s">
        <v>14</v>
      </c>
      <c r="G7" s="2" t="s">
        <v>38</v>
      </c>
      <c r="H7" s="2" t="s">
        <v>42</v>
      </c>
      <c r="I7" s="4" t="s">
        <v>27</v>
      </c>
      <c r="J7" s="3">
        <v>54224.25</v>
      </c>
    </row>
    <row r="8" spans="1:10" ht="43.5" x14ac:dyDescent="0.35">
      <c r="A8" s="2" t="s">
        <v>10</v>
      </c>
      <c r="B8" s="3">
        <v>1040318.2508960559</v>
      </c>
      <c r="C8" s="9" t="s">
        <v>43</v>
      </c>
      <c r="D8" s="2" t="s">
        <v>44</v>
      </c>
      <c r="E8" s="2" t="s">
        <v>24</v>
      </c>
      <c r="F8" s="2" t="s">
        <v>14</v>
      </c>
      <c r="G8" s="2" t="s">
        <v>25</v>
      </c>
      <c r="H8" s="2" t="s">
        <v>45</v>
      </c>
      <c r="I8" s="4" t="s">
        <v>27</v>
      </c>
      <c r="J8" s="3" t="s">
        <v>46</v>
      </c>
    </row>
    <row r="9" spans="1:10" ht="43.5" x14ac:dyDescent="0.35">
      <c r="A9" s="2" t="s">
        <v>10</v>
      </c>
      <c r="B9" s="3">
        <v>1040318.2508960559</v>
      </c>
      <c r="C9" s="9" t="s">
        <v>47</v>
      </c>
      <c r="D9" s="2" t="s">
        <v>48</v>
      </c>
      <c r="E9" s="2" t="s">
        <v>24</v>
      </c>
      <c r="F9" s="2" t="s">
        <v>14</v>
      </c>
      <c r="G9" s="2" t="s">
        <v>25</v>
      </c>
      <c r="H9" s="2" t="s">
        <v>45</v>
      </c>
      <c r="I9" s="4" t="s">
        <v>27</v>
      </c>
      <c r="J9" s="3" t="s">
        <v>49</v>
      </c>
    </row>
    <row r="10" spans="1:10" ht="43.5" x14ac:dyDescent="0.35">
      <c r="A10" s="2" t="s">
        <v>10</v>
      </c>
      <c r="B10" s="3">
        <v>1040318.2508960559</v>
      </c>
      <c r="C10" s="9" t="s">
        <v>50</v>
      </c>
      <c r="D10" s="2" t="s">
        <v>51</v>
      </c>
      <c r="E10" s="2" t="s">
        <v>24</v>
      </c>
      <c r="F10" s="2" t="s">
        <v>14</v>
      </c>
      <c r="G10" s="2" t="s">
        <v>25</v>
      </c>
      <c r="H10" s="2" t="s">
        <v>45</v>
      </c>
      <c r="I10" s="4" t="s">
        <v>27</v>
      </c>
      <c r="J10" s="3" t="s">
        <v>52</v>
      </c>
    </row>
    <row r="11" spans="1:10" ht="29" x14ac:dyDescent="0.35">
      <c r="A11" s="2" t="s">
        <v>10</v>
      </c>
      <c r="B11" s="3">
        <v>1040318.2508960559</v>
      </c>
      <c r="C11" s="9" t="s">
        <v>53</v>
      </c>
      <c r="D11" s="2" t="s">
        <v>54</v>
      </c>
      <c r="E11" s="2" t="s">
        <v>55</v>
      </c>
      <c r="F11" s="2" t="s">
        <v>56</v>
      </c>
      <c r="G11" s="2" t="s">
        <v>25</v>
      </c>
      <c r="H11" s="2" t="s">
        <v>57</v>
      </c>
      <c r="I11" s="4" t="s">
        <v>27</v>
      </c>
      <c r="J11" s="3"/>
    </row>
    <row r="12" spans="1:10" ht="29" x14ac:dyDescent="0.35">
      <c r="A12" s="2" t="s">
        <v>58</v>
      </c>
      <c r="B12" s="3">
        <v>1817738.67</v>
      </c>
      <c r="C12" s="2" t="s">
        <v>59</v>
      </c>
      <c r="D12" s="2" t="s">
        <v>60</v>
      </c>
      <c r="E12" s="2" t="s">
        <v>61</v>
      </c>
      <c r="F12" s="2" t="s">
        <v>14</v>
      </c>
      <c r="G12" s="2" t="s">
        <v>62</v>
      </c>
      <c r="H12" s="2" t="s">
        <v>63</v>
      </c>
      <c r="I12" s="4" t="s">
        <v>27</v>
      </c>
      <c r="J12" s="3">
        <v>1817738.67</v>
      </c>
    </row>
    <row r="13" spans="1:10" ht="29" x14ac:dyDescent="0.35">
      <c r="A13" s="2" t="s">
        <v>58</v>
      </c>
      <c r="B13" s="3">
        <v>324695.93</v>
      </c>
      <c r="C13" s="2" t="s">
        <v>64</v>
      </c>
      <c r="D13" s="2" t="s">
        <v>65</v>
      </c>
      <c r="E13" s="2" t="s">
        <v>66</v>
      </c>
      <c r="F13" s="2" t="s">
        <v>14</v>
      </c>
      <c r="G13" s="2" t="s">
        <v>67</v>
      </c>
      <c r="H13" s="2" t="s">
        <v>68</v>
      </c>
      <c r="I13" s="4" t="s">
        <v>27</v>
      </c>
      <c r="J13" s="3">
        <v>324695.93</v>
      </c>
    </row>
    <row r="14" spans="1:10" ht="29" x14ac:dyDescent="0.35">
      <c r="A14" s="2" t="s">
        <v>58</v>
      </c>
      <c r="B14" s="3">
        <v>86000</v>
      </c>
      <c r="C14" s="2" t="s">
        <v>69</v>
      </c>
      <c r="D14" s="2" t="s">
        <v>70</v>
      </c>
      <c r="E14" s="2" t="s">
        <v>71</v>
      </c>
      <c r="F14" s="2" t="s">
        <v>14</v>
      </c>
      <c r="G14" s="2" t="s">
        <v>72</v>
      </c>
      <c r="H14" s="2" t="s">
        <v>73</v>
      </c>
      <c r="I14" s="4" t="s">
        <v>17</v>
      </c>
      <c r="J14" s="3">
        <v>86000</v>
      </c>
    </row>
    <row r="15" spans="1:10" ht="29" x14ac:dyDescent="0.35">
      <c r="A15" s="2" t="s">
        <v>58</v>
      </c>
      <c r="B15" s="3">
        <v>69820.260000000009</v>
      </c>
      <c r="C15" s="2" t="s">
        <v>74</v>
      </c>
      <c r="D15" s="2" t="s">
        <v>75</v>
      </c>
      <c r="E15" s="2" t="s">
        <v>71</v>
      </c>
      <c r="F15" s="2" t="s">
        <v>14</v>
      </c>
      <c r="G15" s="2" t="s">
        <v>72</v>
      </c>
      <c r="H15" s="2" t="s">
        <v>76</v>
      </c>
      <c r="I15" s="4" t="s">
        <v>27</v>
      </c>
      <c r="J15" s="3">
        <v>69820.260000000009</v>
      </c>
    </row>
    <row r="16" spans="1:10" ht="43.5" x14ac:dyDescent="0.35">
      <c r="A16" s="2" t="s">
        <v>58</v>
      </c>
      <c r="B16" s="3">
        <v>182733</v>
      </c>
      <c r="C16" s="2" t="s">
        <v>77</v>
      </c>
      <c r="D16" s="2" t="s">
        <v>78</v>
      </c>
      <c r="E16" s="2" t="s">
        <v>55</v>
      </c>
      <c r="F16" s="2" t="s">
        <v>56</v>
      </c>
      <c r="G16" s="2" t="s">
        <v>25</v>
      </c>
      <c r="H16" s="2" t="s">
        <v>79</v>
      </c>
      <c r="I16" s="4" t="s">
        <v>80</v>
      </c>
      <c r="J16" s="3">
        <v>182733</v>
      </c>
    </row>
    <row r="17" spans="1:10" ht="29" x14ac:dyDescent="0.35">
      <c r="A17" s="2" t="s">
        <v>58</v>
      </c>
      <c r="B17" s="3">
        <v>121595.5</v>
      </c>
      <c r="C17" s="2" t="s">
        <v>81</v>
      </c>
      <c r="D17" s="2" t="s">
        <v>82</v>
      </c>
      <c r="E17" s="2" t="s">
        <v>55</v>
      </c>
      <c r="F17" s="2" t="s">
        <v>56</v>
      </c>
      <c r="G17" s="2" t="s">
        <v>25</v>
      </c>
      <c r="H17" s="2" t="s">
        <v>83</v>
      </c>
      <c r="I17" s="4" t="s">
        <v>80</v>
      </c>
      <c r="J17" s="3">
        <v>121595.5</v>
      </c>
    </row>
    <row r="18" spans="1:10" x14ac:dyDescent="0.35">
      <c r="A18" s="2" t="s">
        <v>58</v>
      </c>
      <c r="B18" s="3">
        <v>310000</v>
      </c>
      <c r="C18" s="2" t="s">
        <v>84</v>
      </c>
      <c r="D18" s="2" t="s">
        <v>85</v>
      </c>
      <c r="E18" s="2" t="s">
        <v>55</v>
      </c>
      <c r="F18" s="2" t="s">
        <v>56</v>
      </c>
      <c r="G18" s="2" t="s">
        <v>25</v>
      </c>
      <c r="H18" s="2" t="s">
        <v>86</v>
      </c>
      <c r="I18" s="4" t="s">
        <v>27</v>
      </c>
      <c r="J18" s="3">
        <v>310000</v>
      </c>
    </row>
    <row r="19" spans="1:10" ht="29" x14ac:dyDescent="0.35">
      <c r="A19" s="2" t="s">
        <v>58</v>
      </c>
      <c r="B19" s="3">
        <v>110354.58</v>
      </c>
      <c r="C19" s="2" t="s">
        <v>87</v>
      </c>
      <c r="D19" s="2" t="s">
        <v>88</v>
      </c>
      <c r="E19" s="2" t="s">
        <v>55</v>
      </c>
      <c r="F19" s="2" t="s">
        <v>56</v>
      </c>
      <c r="G19" s="2" t="s">
        <v>25</v>
      </c>
      <c r="H19" s="2" t="s">
        <v>89</v>
      </c>
      <c r="I19" s="4" t="s">
        <v>27</v>
      </c>
      <c r="J19" s="3">
        <v>110354.58</v>
      </c>
    </row>
    <row r="20" spans="1:10" ht="58" x14ac:dyDescent="0.35">
      <c r="A20" s="2" t="s">
        <v>58</v>
      </c>
      <c r="B20" s="3">
        <v>142881</v>
      </c>
      <c r="C20" s="2" t="s">
        <v>90</v>
      </c>
      <c r="D20" s="2" t="s">
        <v>91</v>
      </c>
      <c r="E20" s="2" t="s">
        <v>55</v>
      </c>
      <c r="F20" s="2" t="s">
        <v>56</v>
      </c>
      <c r="G20" s="2" t="s">
        <v>25</v>
      </c>
      <c r="H20" s="2" t="s">
        <v>92</v>
      </c>
      <c r="I20" s="4" t="s">
        <v>80</v>
      </c>
      <c r="J20" s="3">
        <v>142881</v>
      </c>
    </row>
    <row r="21" spans="1:10" ht="43.5" x14ac:dyDescent="0.35">
      <c r="A21" s="2" t="s">
        <v>93</v>
      </c>
      <c r="B21" s="3">
        <v>351150.23</v>
      </c>
      <c r="C21" s="2" t="s">
        <v>94</v>
      </c>
      <c r="D21" s="2" t="s">
        <v>95</v>
      </c>
      <c r="E21" s="2" t="s">
        <v>96</v>
      </c>
      <c r="F21" s="2" t="s">
        <v>56</v>
      </c>
      <c r="G21" s="2" t="s">
        <v>25</v>
      </c>
      <c r="H21" s="2" t="s">
        <v>97</v>
      </c>
      <c r="I21" s="5" t="s">
        <v>98</v>
      </c>
      <c r="J21" s="3">
        <v>432299.54</v>
      </c>
    </row>
    <row r="22" spans="1:10" ht="29" x14ac:dyDescent="0.35">
      <c r="A22" s="2" t="s">
        <v>93</v>
      </c>
      <c r="B22" s="3">
        <v>19197.95</v>
      </c>
      <c r="C22" s="2" t="s">
        <v>99</v>
      </c>
      <c r="D22" s="2" t="s">
        <v>100</v>
      </c>
      <c r="E22" s="2" t="s">
        <v>55</v>
      </c>
      <c r="F22" s="2" t="s">
        <v>56</v>
      </c>
      <c r="G22" s="2" t="s">
        <v>25</v>
      </c>
      <c r="H22" s="2" t="s">
        <v>101</v>
      </c>
      <c r="I22" s="5" t="s">
        <v>98</v>
      </c>
      <c r="J22" s="3">
        <v>21197.95</v>
      </c>
    </row>
    <row r="23" spans="1:10" ht="29" x14ac:dyDescent="0.35">
      <c r="A23" s="2" t="s">
        <v>102</v>
      </c>
      <c r="B23" s="3">
        <v>34009.68</v>
      </c>
      <c r="C23" s="2" t="s">
        <v>103</v>
      </c>
      <c r="D23" s="2" t="s">
        <v>104</v>
      </c>
      <c r="E23" s="2" t="s">
        <v>55</v>
      </c>
      <c r="F23" s="2" t="s">
        <v>56</v>
      </c>
      <c r="G23" s="2" t="s">
        <v>25</v>
      </c>
      <c r="H23" s="2" t="s">
        <v>105</v>
      </c>
      <c r="I23" s="6" t="s">
        <v>106</v>
      </c>
      <c r="J23" s="3">
        <v>70487.25</v>
      </c>
    </row>
    <row r="24" spans="1:10" ht="29" x14ac:dyDescent="0.35">
      <c r="A24" s="2" t="s">
        <v>102</v>
      </c>
      <c r="B24" s="3">
        <f>36477.57-2128</f>
        <v>34349.57</v>
      </c>
      <c r="C24" s="2" t="s">
        <v>107</v>
      </c>
      <c r="D24" s="2" t="s">
        <v>108</v>
      </c>
      <c r="E24" s="2" t="s">
        <v>109</v>
      </c>
      <c r="F24" s="2" t="s">
        <v>14</v>
      </c>
      <c r="G24" s="2" t="s">
        <v>62</v>
      </c>
      <c r="H24" s="2" t="s">
        <v>110</v>
      </c>
      <c r="I24" s="6" t="s">
        <v>106</v>
      </c>
      <c r="J24" s="3">
        <v>70487.25</v>
      </c>
    </row>
    <row r="25" spans="1:10" ht="58" x14ac:dyDescent="0.35">
      <c r="A25" s="2" t="s">
        <v>102</v>
      </c>
      <c r="B25" s="3">
        <v>145165.32291666666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115</v>
      </c>
      <c r="H25" s="2" t="s">
        <v>116</v>
      </c>
      <c r="I25" s="6" t="s">
        <v>106</v>
      </c>
      <c r="J25" s="3">
        <v>181346.39000000039</v>
      </c>
    </row>
    <row r="26" spans="1:10" ht="29" x14ac:dyDescent="0.35">
      <c r="A26" s="2" t="s">
        <v>102</v>
      </c>
      <c r="B26" s="3">
        <f>3486.75183333333+5646.28</f>
        <v>9133.0318333333307</v>
      </c>
      <c r="C26" s="2" t="s">
        <v>117</v>
      </c>
      <c r="D26" s="2" t="s">
        <v>118</v>
      </c>
      <c r="E26" s="2" t="s">
        <v>55</v>
      </c>
      <c r="F26" s="2" t="s">
        <v>56</v>
      </c>
      <c r="G26" s="2" t="s">
        <v>25</v>
      </c>
      <c r="H26" s="2" t="s">
        <v>119</v>
      </c>
      <c r="I26" s="5" t="s">
        <v>98</v>
      </c>
      <c r="J26" s="3">
        <v>62148.42</v>
      </c>
    </row>
    <row r="27" spans="1:10" ht="29" x14ac:dyDescent="0.35">
      <c r="A27" s="2" t="s">
        <v>102</v>
      </c>
      <c r="B27" s="3">
        <v>30911.850000000002</v>
      </c>
      <c r="C27" s="2" t="s">
        <v>120</v>
      </c>
      <c r="D27" s="2" t="s">
        <v>121</v>
      </c>
      <c r="E27" s="2" t="s">
        <v>55</v>
      </c>
      <c r="F27" s="2" t="s">
        <v>56</v>
      </c>
      <c r="G27" s="2" t="s">
        <v>25</v>
      </c>
      <c r="H27" s="2" t="s">
        <v>122</v>
      </c>
      <c r="I27" s="5" t="s">
        <v>98</v>
      </c>
      <c r="J27" s="3">
        <v>32231.23</v>
      </c>
    </row>
    <row r="28" spans="1:10" ht="29" x14ac:dyDescent="0.35">
      <c r="A28" s="2" t="s">
        <v>102</v>
      </c>
      <c r="B28" s="3">
        <v>0</v>
      </c>
      <c r="C28" s="2" t="s">
        <v>123</v>
      </c>
      <c r="D28" s="2" t="s">
        <v>124</v>
      </c>
      <c r="E28" s="2" t="s">
        <v>55</v>
      </c>
      <c r="F28" s="2" t="s">
        <v>56</v>
      </c>
      <c r="G28" s="2" t="s">
        <v>25</v>
      </c>
      <c r="H28" s="2" t="s">
        <v>119</v>
      </c>
      <c r="I28" s="5" t="s">
        <v>98</v>
      </c>
      <c r="J28" s="3">
        <v>9090</v>
      </c>
    </row>
    <row r="29" spans="1:10" ht="58" x14ac:dyDescent="0.35">
      <c r="A29" s="2" t="s">
        <v>125</v>
      </c>
      <c r="B29" s="3">
        <v>889431.99</v>
      </c>
      <c r="C29" s="2" t="s">
        <v>126</v>
      </c>
      <c r="D29" s="2" t="s">
        <v>127</v>
      </c>
      <c r="E29" s="2" t="s">
        <v>113</v>
      </c>
      <c r="F29" s="2" t="s">
        <v>114</v>
      </c>
      <c r="G29" s="2" t="s">
        <v>115</v>
      </c>
      <c r="H29" s="2" t="s">
        <v>128</v>
      </c>
      <c r="I29" s="6" t="s">
        <v>106</v>
      </c>
      <c r="J29" s="3">
        <v>111874.02</v>
      </c>
    </row>
    <row r="30" spans="1:10" ht="29" x14ac:dyDescent="0.35">
      <c r="A30" s="2" t="s">
        <v>125</v>
      </c>
      <c r="B30" s="3">
        <v>0</v>
      </c>
      <c r="C30" s="2" t="s">
        <v>129</v>
      </c>
      <c r="D30" s="2" t="s">
        <v>130</v>
      </c>
      <c r="E30" s="2" t="s">
        <v>131</v>
      </c>
      <c r="F30" s="2" t="s">
        <v>114</v>
      </c>
      <c r="G30" s="2" t="s">
        <v>115</v>
      </c>
      <c r="H30" s="2" t="s">
        <v>116</v>
      </c>
      <c r="I30" s="6" t="s">
        <v>106</v>
      </c>
      <c r="J30" s="3">
        <v>181346.39000000039</v>
      </c>
    </row>
    <row r="31" spans="1:10" ht="29" x14ac:dyDescent="0.35">
      <c r="A31" s="2" t="s">
        <v>125</v>
      </c>
      <c r="B31" s="3">
        <v>0</v>
      </c>
      <c r="C31" s="2" t="s">
        <v>132</v>
      </c>
      <c r="D31" s="2" t="s">
        <v>133</v>
      </c>
      <c r="E31" s="2" t="s">
        <v>55</v>
      </c>
      <c r="F31" s="2" t="s">
        <v>56</v>
      </c>
      <c r="G31" s="2" t="s">
        <v>25</v>
      </c>
      <c r="H31" s="2" t="s">
        <v>134</v>
      </c>
      <c r="I31" s="6" t="s">
        <v>106</v>
      </c>
      <c r="J31" s="3">
        <v>432299.54</v>
      </c>
    </row>
    <row r="32" spans="1:10" ht="58" x14ac:dyDescent="0.35">
      <c r="A32" s="2" t="s">
        <v>125</v>
      </c>
      <c r="B32" s="3">
        <v>0</v>
      </c>
      <c r="C32" s="2" t="s">
        <v>135</v>
      </c>
      <c r="D32" s="2" t="s">
        <v>136</v>
      </c>
      <c r="E32" s="2" t="s">
        <v>137</v>
      </c>
      <c r="F32" s="2" t="s">
        <v>56</v>
      </c>
      <c r="G32" s="2" t="s">
        <v>25</v>
      </c>
      <c r="H32" s="2" t="s">
        <v>138</v>
      </c>
      <c r="I32" s="6" t="s">
        <v>106</v>
      </c>
      <c r="J32" s="3"/>
    </row>
    <row r="33" spans="1:10" ht="29" x14ac:dyDescent="0.35">
      <c r="A33" s="2" t="s">
        <v>139</v>
      </c>
      <c r="B33" s="3">
        <v>29014.3</v>
      </c>
      <c r="C33" s="2" t="s">
        <v>140</v>
      </c>
      <c r="D33" s="2" t="s">
        <v>141</v>
      </c>
      <c r="E33" s="2" t="s">
        <v>55</v>
      </c>
      <c r="F33" s="2" t="s">
        <v>56</v>
      </c>
      <c r="G33" s="2" t="s">
        <v>25</v>
      </c>
      <c r="H33" s="2" t="s">
        <v>142</v>
      </c>
      <c r="I33" s="4" t="s">
        <v>27</v>
      </c>
      <c r="J33" s="3">
        <v>24754.3</v>
      </c>
    </row>
    <row r="34" spans="1:10" ht="58" x14ac:dyDescent="0.35">
      <c r="A34" s="2" t="s">
        <v>143</v>
      </c>
      <c r="B34" s="3">
        <v>50409.285000000003</v>
      </c>
      <c r="C34" s="2" t="s">
        <v>144</v>
      </c>
      <c r="D34" s="2" t="s">
        <v>145</v>
      </c>
      <c r="E34" s="2" t="s">
        <v>113</v>
      </c>
      <c r="F34" s="2" t="s">
        <v>114</v>
      </c>
      <c r="G34" s="2" t="s">
        <v>115</v>
      </c>
      <c r="H34" s="2" t="s">
        <v>116</v>
      </c>
      <c r="I34" s="5" t="s">
        <v>146</v>
      </c>
      <c r="J34" s="3"/>
    </row>
    <row r="35" spans="1:10" ht="29" x14ac:dyDescent="0.35">
      <c r="A35" s="2" t="s">
        <v>143</v>
      </c>
      <c r="B35" s="3">
        <v>0</v>
      </c>
      <c r="C35" s="2" t="s">
        <v>147</v>
      </c>
      <c r="D35" s="2" t="s">
        <v>148</v>
      </c>
      <c r="E35" s="2" t="s">
        <v>149</v>
      </c>
      <c r="F35" s="2" t="s">
        <v>114</v>
      </c>
      <c r="G35" s="2" t="s">
        <v>62</v>
      </c>
      <c r="H35" s="2" t="s">
        <v>150</v>
      </c>
      <c r="I35" s="6" t="s">
        <v>106</v>
      </c>
      <c r="J35" s="3"/>
    </row>
    <row r="36" spans="1:10" ht="29" x14ac:dyDescent="0.35">
      <c r="A36" s="2" t="s">
        <v>151</v>
      </c>
      <c r="B36" s="3">
        <v>7889.39</v>
      </c>
      <c r="C36" s="2" t="s">
        <v>152</v>
      </c>
      <c r="D36" s="2" t="s">
        <v>153</v>
      </c>
      <c r="E36" s="2" t="s">
        <v>55</v>
      </c>
      <c r="F36" s="2" t="s">
        <v>56</v>
      </c>
      <c r="G36" s="2" t="s">
        <v>25</v>
      </c>
      <c r="H36" s="2" t="s">
        <v>119</v>
      </c>
      <c r="I36" s="4" t="s">
        <v>27</v>
      </c>
      <c r="J36" s="3">
        <v>7889.3899999999994</v>
      </c>
    </row>
    <row r="37" spans="1:10" ht="29" x14ac:dyDescent="0.35">
      <c r="A37" s="2" t="s">
        <v>154</v>
      </c>
      <c r="B37" s="3">
        <v>15142.09</v>
      </c>
      <c r="C37" s="2" t="s">
        <v>155</v>
      </c>
      <c r="D37" s="2" t="s">
        <v>156</v>
      </c>
      <c r="E37" s="2" t="s">
        <v>55</v>
      </c>
      <c r="F37" s="2" t="s">
        <v>56</v>
      </c>
      <c r="G37" s="2" t="s">
        <v>25</v>
      </c>
      <c r="H37" s="2" t="s">
        <v>157</v>
      </c>
      <c r="I37" s="4" t="s">
        <v>27</v>
      </c>
      <c r="J37" s="3">
        <v>14815.61</v>
      </c>
    </row>
    <row r="38" spans="1:10" ht="29" x14ac:dyDescent="0.35">
      <c r="A38" s="2" t="s">
        <v>158</v>
      </c>
      <c r="B38" s="3">
        <v>56081.56</v>
      </c>
      <c r="C38" s="2" t="s">
        <v>159</v>
      </c>
      <c r="D38" s="2" t="s">
        <v>160</v>
      </c>
      <c r="E38" s="2" t="s">
        <v>55</v>
      </c>
      <c r="F38" s="2" t="s">
        <v>56</v>
      </c>
      <c r="G38" s="2" t="s">
        <v>25</v>
      </c>
      <c r="H38" s="2" t="s">
        <v>161</v>
      </c>
      <c r="I38" s="4" t="s">
        <v>27</v>
      </c>
      <c r="J38" s="3">
        <v>99557.95</v>
      </c>
    </row>
    <row r="39" spans="1:10" x14ac:dyDescent="0.35">
      <c r="A39" s="2" t="s">
        <v>162</v>
      </c>
      <c r="B39" s="3">
        <v>27669.43</v>
      </c>
      <c r="C39" s="2" t="s">
        <v>163</v>
      </c>
      <c r="D39" s="2" t="s">
        <v>164</v>
      </c>
      <c r="E39" s="2" t="s">
        <v>55</v>
      </c>
      <c r="F39" s="2" t="s">
        <v>56</v>
      </c>
      <c r="G39" s="2" t="s">
        <v>25</v>
      </c>
      <c r="H39" s="2" t="s">
        <v>119</v>
      </c>
      <c r="I39" s="4" t="s">
        <v>27</v>
      </c>
      <c r="J39" s="3">
        <v>21529.43</v>
      </c>
    </row>
    <row r="40" spans="1:10" x14ac:dyDescent="0.35">
      <c r="A40" s="2" t="s">
        <v>165</v>
      </c>
      <c r="B40" s="3">
        <v>14011.18</v>
      </c>
      <c r="C40" s="2" t="s">
        <v>166</v>
      </c>
      <c r="D40" s="2" t="s">
        <v>167</v>
      </c>
      <c r="E40" s="2" t="s">
        <v>55</v>
      </c>
      <c r="F40" s="2" t="s">
        <v>56</v>
      </c>
      <c r="G40" s="2" t="s">
        <v>25</v>
      </c>
      <c r="H40" s="2" t="s">
        <v>119</v>
      </c>
      <c r="I40" s="4" t="s">
        <v>27</v>
      </c>
      <c r="J40" s="3">
        <v>9573.23</v>
      </c>
    </row>
    <row r="41" spans="1:10" ht="29" x14ac:dyDescent="0.35">
      <c r="A41" s="2" t="s">
        <v>168</v>
      </c>
      <c r="B41" s="3">
        <v>55389.89</v>
      </c>
      <c r="C41" s="2" t="s">
        <v>169</v>
      </c>
      <c r="D41" s="2" t="s">
        <v>170</v>
      </c>
      <c r="E41" s="2" t="s">
        <v>55</v>
      </c>
      <c r="F41" s="2" t="s">
        <v>56</v>
      </c>
      <c r="G41" s="2" t="s">
        <v>25</v>
      </c>
      <c r="H41" s="2" t="s">
        <v>171</v>
      </c>
      <c r="I41" s="4" t="s">
        <v>27</v>
      </c>
      <c r="J41" s="3">
        <v>63447.01</v>
      </c>
    </row>
    <row r="42" spans="1:10" ht="29" x14ac:dyDescent="0.35">
      <c r="A42" s="2" t="s">
        <v>172</v>
      </c>
      <c r="B42" s="3">
        <v>80526.17</v>
      </c>
      <c r="C42" s="2" t="s">
        <v>173</v>
      </c>
      <c r="D42" s="2" t="s">
        <v>174</v>
      </c>
      <c r="E42" s="2" t="s">
        <v>55</v>
      </c>
      <c r="F42" s="2" t="s">
        <v>56</v>
      </c>
      <c r="G42" s="2" t="s">
        <v>25</v>
      </c>
      <c r="H42" s="2" t="s">
        <v>134</v>
      </c>
      <c r="I42" s="5" t="s">
        <v>98</v>
      </c>
      <c r="J42" s="3"/>
    </row>
    <row r="43" spans="1:10" ht="29" x14ac:dyDescent="0.35">
      <c r="A43" s="2" t="s">
        <v>175</v>
      </c>
      <c r="B43" s="3">
        <v>5638.57</v>
      </c>
      <c r="C43" s="2" t="s">
        <v>176</v>
      </c>
      <c r="D43" s="2" t="s">
        <v>177</v>
      </c>
      <c r="E43" s="2" t="s">
        <v>178</v>
      </c>
      <c r="F43" s="2" t="s">
        <v>14</v>
      </c>
      <c r="G43" s="2" t="s">
        <v>25</v>
      </c>
      <c r="H43" s="2" t="s">
        <v>179</v>
      </c>
      <c r="I43" s="4" t="s">
        <v>27</v>
      </c>
      <c r="J43" s="3">
        <v>5638.57</v>
      </c>
    </row>
    <row r="44" spans="1:10" ht="29" x14ac:dyDescent="0.35">
      <c r="A44" s="2" t="s">
        <v>180</v>
      </c>
      <c r="B44" s="3">
        <v>66745.25</v>
      </c>
      <c r="C44" s="2" t="s">
        <v>181</v>
      </c>
      <c r="D44" s="2" t="s">
        <v>182</v>
      </c>
      <c r="E44" s="2" t="s">
        <v>37</v>
      </c>
      <c r="F44" s="2" t="s">
        <v>14</v>
      </c>
      <c r="G44" s="2" t="s">
        <v>38</v>
      </c>
      <c r="H44" s="2" t="s">
        <v>183</v>
      </c>
      <c r="I44" s="4" t="s">
        <v>27</v>
      </c>
      <c r="J44" s="3">
        <v>33803</v>
      </c>
    </row>
    <row r="45" spans="1:10" ht="29" x14ac:dyDescent="0.35">
      <c r="A45" s="2" t="s">
        <v>184</v>
      </c>
      <c r="B45" s="3">
        <v>85000</v>
      </c>
      <c r="C45" s="2" t="s">
        <v>185</v>
      </c>
      <c r="D45" s="2" t="s">
        <v>186</v>
      </c>
      <c r="E45" s="2" t="s">
        <v>55</v>
      </c>
      <c r="F45" s="2" t="s">
        <v>56</v>
      </c>
      <c r="G45" s="2" t="s">
        <v>25</v>
      </c>
      <c r="H45" s="2" t="s">
        <v>187</v>
      </c>
      <c r="I45" s="4" t="s">
        <v>27</v>
      </c>
      <c r="J45" s="3">
        <v>125250</v>
      </c>
    </row>
    <row r="46" spans="1:10" ht="29" x14ac:dyDescent="0.35">
      <c r="A46" s="2" t="s">
        <v>188</v>
      </c>
      <c r="B46" s="3">
        <v>17013.03</v>
      </c>
      <c r="C46" s="2" t="s">
        <v>189</v>
      </c>
      <c r="D46" s="2" t="s">
        <v>190</v>
      </c>
      <c r="E46" s="2" t="s">
        <v>55</v>
      </c>
      <c r="F46" s="2" t="s">
        <v>56</v>
      </c>
      <c r="G46" s="2" t="s">
        <v>25</v>
      </c>
      <c r="H46" s="2" t="s">
        <v>191</v>
      </c>
      <c r="I46" s="4" t="s">
        <v>192</v>
      </c>
      <c r="J46" s="3"/>
    </row>
    <row r="47" spans="1:10" ht="29" x14ac:dyDescent="0.35">
      <c r="A47" s="2" t="s">
        <v>193</v>
      </c>
      <c r="B47" s="3">
        <f>156976.974308202-B48</f>
        <v>123178.97430820201</v>
      </c>
      <c r="C47" s="2" t="s">
        <v>194</v>
      </c>
      <c r="D47" s="2" t="s">
        <v>195</v>
      </c>
      <c r="E47" s="2" t="s">
        <v>196</v>
      </c>
      <c r="F47" s="2" t="s">
        <v>14</v>
      </c>
      <c r="G47" s="2" t="s">
        <v>197</v>
      </c>
      <c r="H47" s="2" t="s">
        <v>198</v>
      </c>
      <c r="I47" s="4" t="s">
        <v>27</v>
      </c>
      <c r="J47" s="3">
        <v>126679.42</v>
      </c>
    </row>
    <row r="48" spans="1:10" ht="29" x14ac:dyDescent="0.35">
      <c r="A48" s="2" t="s">
        <v>193</v>
      </c>
      <c r="B48" s="3">
        <v>33798</v>
      </c>
      <c r="C48" s="2" t="s">
        <v>199</v>
      </c>
      <c r="D48" s="2" t="s">
        <v>200</v>
      </c>
      <c r="E48" s="2" t="s">
        <v>201</v>
      </c>
      <c r="F48" s="2" t="s">
        <v>56</v>
      </c>
      <c r="G48" s="2" t="s">
        <v>25</v>
      </c>
      <c r="H48" s="2" t="s">
        <v>202</v>
      </c>
      <c r="I48" s="4" t="s">
        <v>27</v>
      </c>
      <c r="J48" s="3">
        <v>30297.55</v>
      </c>
    </row>
    <row r="49" spans="1:10" ht="29" x14ac:dyDescent="0.35">
      <c r="A49" s="2" t="s">
        <v>203</v>
      </c>
      <c r="B49" s="3">
        <v>3402.2</v>
      </c>
      <c r="C49" s="2" t="s">
        <v>204</v>
      </c>
      <c r="D49" s="2" t="s">
        <v>205</v>
      </c>
      <c r="E49" s="2" t="s">
        <v>55</v>
      </c>
      <c r="F49" s="2" t="s">
        <v>56</v>
      </c>
      <c r="G49" s="2" t="s">
        <v>25</v>
      </c>
      <c r="H49" s="2" t="s">
        <v>206</v>
      </c>
      <c r="I49" s="4" t="s">
        <v>192</v>
      </c>
      <c r="J49" s="3"/>
    </row>
    <row r="50" spans="1:10" ht="29" x14ac:dyDescent="0.35">
      <c r="A50" s="2" t="s">
        <v>207</v>
      </c>
      <c r="B50" s="3">
        <v>63005.85</v>
      </c>
      <c r="C50" s="2" t="s">
        <v>208</v>
      </c>
      <c r="D50" s="2" t="s">
        <v>209</v>
      </c>
      <c r="E50" s="2" t="s">
        <v>55</v>
      </c>
      <c r="F50" s="2" t="s">
        <v>56</v>
      </c>
      <c r="G50" s="2" t="s">
        <v>25</v>
      </c>
      <c r="H50" s="2" t="s">
        <v>210</v>
      </c>
      <c r="I50" s="4" t="s">
        <v>192</v>
      </c>
      <c r="J50" s="3">
        <v>63320.849999999977</v>
      </c>
    </row>
  </sheetData>
  <autoFilter ref="A1:J5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 x14ac:dyDescent="0.35"/>
  <cols>
    <col min="1" max="1" width="160" customWidth="1"/>
  </cols>
  <sheetData>
    <row r="1" spans="1:1" x14ac:dyDescent="0.35">
      <c r="A1" s="7" t="s">
        <v>211</v>
      </c>
    </row>
    <row r="2" spans="1:1" ht="29" x14ac:dyDescent="0.35">
      <c r="A2" s="8" t="s">
        <v>212</v>
      </c>
    </row>
    <row r="3" spans="1:1" ht="29" x14ac:dyDescent="0.35">
      <c r="A3" s="8" t="s">
        <v>213</v>
      </c>
    </row>
    <row r="4" spans="1:1" x14ac:dyDescent="0.35">
      <c r="A4" s="8" t="s">
        <v>214</v>
      </c>
    </row>
    <row r="5" spans="1:1" x14ac:dyDescent="0.35">
      <c r="A5" s="8" t="s">
        <v>215</v>
      </c>
    </row>
    <row r="6" spans="1:1" x14ac:dyDescent="0.35">
      <c r="A6" s="8" t="s">
        <v>216</v>
      </c>
    </row>
    <row r="7" spans="1:1" x14ac:dyDescent="0.35">
      <c r="A7" s="8" t="s">
        <v>217</v>
      </c>
    </row>
    <row r="8" spans="1:1" x14ac:dyDescent="0.35">
      <c r="A8" s="8" t="s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15" sqref="A12:A15"/>
    </sheetView>
  </sheetViews>
  <sheetFormatPr defaultRowHeight="14.5" x14ac:dyDescent="0.35"/>
  <cols>
    <col min="1" max="1" width="160" customWidth="1"/>
  </cols>
  <sheetData>
    <row r="1" spans="1:1" x14ac:dyDescent="0.35">
      <c r="A1" t="s">
        <v>219</v>
      </c>
    </row>
    <row r="2" spans="1:1" x14ac:dyDescent="0.35">
      <c r="A2" t="s">
        <v>220</v>
      </c>
    </row>
    <row r="3" spans="1:1" x14ac:dyDescent="0.35">
      <c r="A3" t="s">
        <v>221</v>
      </c>
    </row>
    <row r="4" spans="1:1" x14ac:dyDescent="0.35">
      <c r="A4" t="s">
        <v>222</v>
      </c>
    </row>
    <row r="5" spans="1:1" x14ac:dyDescent="0.35">
      <c r="A5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Rerouting table</vt:lpstr>
      <vt:lpstr>Missing from Arjun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Accutaxme</cp:lastModifiedBy>
  <dcterms:created xsi:type="dcterms:W3CDTF">2026-10-10T16:47:18Z</dcterms:created>
  <dcterms:modified xsi:type="dcterms:W3CDTF">2026-10-13T12:34:33Z</dcterms:modified>
</cp:coreProperties>
</file>