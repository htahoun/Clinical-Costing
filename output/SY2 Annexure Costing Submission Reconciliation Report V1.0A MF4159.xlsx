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801" firstSheet="0" activeTab="5" autoFilterDateGrouping="1"/>
  </bookViews>
  <sheets>
    <sheet xmlns:r="http://schemas.openxmlformats.org/officeDocument/2006/relationships" name="Instructions" sheetId="1" state="visible" r:id="rId1"/>
    <sheet xmlns:r="http://schemas.openxmlformats.org/officeDocument/2006/relationships" name="Sign-Off" sheetId="2" state="visible" r:id="rId2"/>
    <sheet xmlns:r="http://schemas.openxmlformats.org/officeDocument/2006/relationships" name="References" sheetId="3" state="veryHidden" r:id="rId3"/>
    <sheet xmlns:r="http://schemas.openxmlformats.org/officeDocument/2006/relationships" name="Reconciliation - Main" sheetId="4" state="visible" r:id="rId4"/>
    <sheet xmlns:r="http://schemas.openxmlformats.org/officeDocument/2006/relationships" name="Inclusions - General Ledger" sheetId="5" state="visible" r:id="rId5"/>
    <sheet xmlns:r="http://schemas.openxmlformats.org/officeDocument/2006/relationships" name="Exclusions - General Ledger" sheetId="6" state="visible" r:id="rId6"/>
    <sheet xmlns:r="http://schemas.openxmlformats.org/officeDocument/2006/relationships" name="EncountersData" sheetId="7" state="visible" r:id="rId7"/>
    <sheet xmlns:r="http://schemas.openxmlformats.org/officeDocument/2006/relationships" name="WIP" sheetId="8" state="visible" r:id="rId8"/>
    <sheet xmlns:r="http://schemas.openxmlformats.org/officeDocument/2006/relationships" name="DataValidations" sheetId="9" state="visible" r:id="rId9"/>
  </sheets>
  <definedNames>
    <definedName name="_xleta.LOWER" hidden="1" xlm="1">#NAME?</definedName>
    <definedName name="_xleta.NOT" hidden="1" xlm="1">#NAME?</definedName>
    <definedName name="_xleta.UPPER" hidden="1" xlm="1">#NAME?</definedName>
    <definedName name="Recon1">'Reconciliation - Main'!$A$6:$E$25</definedName>
    <definedName name="Recon2">'Reconciliation - Main'!$A$30:$F$45</definedName>
    <definedName name="SignOff1">'Sign-Off'!$A$7:$D$14</definedName>
    <definedName name="SignOff2">'Sign-Off'!$A$26:$C$39</definedName>
  </definedNames>
  <calcPr calcId="191029" fullCalcOnLoad="1"/>
</workbook>
</file>

<file path=xl/styles.xml><?xml version="1.0" encoding="utf-8"?>
<styleSheet xmlns="http://schemas.openxmlformats.org/spreadsheetml/2006/main">
  <numFmts count="5">
    <numFmt numFmtId="164" formatCode="_-* #,##0_-;\-* #,##0_-;_-* &quot;-&quot;??_-;_-@_-"/>
    <numFmt numFmtId="165" formatCode="yyyy\-mm\-dd"/>
    <numFmt numFmtId="166" formatCode="_-* #,##0.0_-;\-* #,##0.0_-;_-* &quot;-&quot;??_-;_-@_-"/>
    <numFmt numFmtId="167" formatCode="_-* #,##0.00_-;\-* #,##0.00_-;_-* &quot;-&quot;??_-;_-@_-"/>
    <numFmt numFmtId="168" formatCode="_-&quot;$&quot;* #,##0.00_-;\-&quot;$&quot;* #,##0.00_-;_-&quot;$&quot;* &quot;-&quot;??_-;_-@_-"/>
  </numFmts>
  <fonts count="65">
    <font>
      <name val="Calibri"/>
      <family val="2"/>
      <color theme="1"/>
      <sz val="11"/>
      <scheme val="minor"/>
    </font>
    <font>
      <name val="Calibri"/>
      <family val="2"/>
      <color theme="1"/>
      <sz val="11"/>
      <scheme val="minor"/>
    </font>
    <font>
      <name val="Calibri"/>
      <family val="2"/>
      <color theme="1"/>
      <sz val="10"/>
      <scheme val="minor"/>
    </font>
    <font>
      <name val="Calibri"/>
      <family val="2"/>
      <color theme="1"/>
      <sz val="10.5"/>
      <scheme val="minor"/>
    </font>
    <font>
      <name val="Calibri"/>
      <family val="2"/>
      <sz val="8"/>
      <scheme val="minor"/>
    </font>
    <font>
      <name val="Calibri"/>
      <family val="2"/>
      <color theme="10"/>
      <sz val="11"/>
      <u val="single"/>
      <scheme val="minor"/>
    </font>
    <font>
      <name val="Corporate S BQ"/>
      <color theme="1"/>
      <sz val="10"/>
    </font>
    <font>
      <name val="Corporate S BQ"/>
      <b val="1"/>
      <sz val="18"/>
    </font>
    <font>
      <name val="Corporate S BQ"/>
      <b val="1"/>
      <color theme="0"/>
      <sz val="12"/>
    </font>
    <font>
      <name val="Corporate S BQ"/>
      <b val="1"/>
      <color theme="1"/>
      <sz val="22"/>
    </font>
    <font>
      <name val="Corporate S BQ"/>
      <b val="1"/>
      <i val="1"/>
      <color rgb="FFA39161"/>
      <sz val="12"/>
    </font>
    <font>
      <name val="Corporate S BQ"/>
      <b val="1"/>
      <color rgb="FFA39161"/>
      <sz val="12"/>
    </font>
    <font>
      <name val="Corporate S BQ"/>
      <color theme="1"/>
      <sz val="11"/>
    </font>
    <font>
      <name val="Corporate S BQ"/>
      <sz val="11"/>
    </font>
    <font>
      <name val="Corporate S BQ"/>
      <b val="1"/>
      <i val="1"/>
      <color rgb="FFC00000"/>
      <sz val="12"/>
    </font>
    <font>
      <name val="Corporate S BQ"/>
      <b val="1"/>
      <i val="1"/>
      <color rgb="FFA39161"/>
      <sz val="10"/>
    </font>
    <font>
      <name val="Corporate S BQ"/>
      <b val="1"/>
      <color theme="1"/>
      <sz val="11"/>
    </font>
    <font>
      <name val="Corporate S BQ"/>
      <b val="1"/>
      <i val="1"/>
      <color rgb="FFA39161"/>
      <sz val="14"/>
    </font>
    <font>
      <name val="Corporate S BQ"/>
      <color rgb="FFA39161"/>
      <sz val="11"/>
      <u val="single"/>
    </font>
    <font>
      <name val="Corporate S BQ"/>
      <i val="1"/>
      <color theme="1"/>
      <sz val="11"/>
    </font>
    <font>
      <name val="Corporate S BQ"/>
      <b val="1"/>
      <i val="1"/>
      <color rgb="FFA39161"/>
      <sz val="11"/>
    </font>
    <font>
      <name val="Corporate S BQ"/>
      <b val="1"/>
      <color rgb="FF002060"/>
      <sz val="10"/>
    </font>
    <font>
      <name val="Corporate S BQ"/>
      <b val="1"/>
      <sz val="12"/>
    </font>
    <font>
      <name val="Corporate S BQ"/>
      <i val="1"/>
      <sz val="11"/>
    </font>
    <font>
      <name val="Corporate S BQ"/>
      <sz val="10.5"/>
    </font>
    <font>
      <name val="Corporate S BQ"/>
      <i val="1"/>
      <sz val="10.5"/>
    </font>
    <font>
      <name val="Corporate S BQ"/>
      <b val="1"/>
      <i val="1"/>
      <color rgb="FFA39161"/>
      <sz val="18"/>
    </font>
    <font>
      <name val="Corporate S BQ"/>
      <b val="1"/>
      <i val="1"/>
      <sz val="12"/>
    </font>
    <font>
      <name val="Corporate S BQ"/>
      <b val="1"/>
      <i val="1"/>
      <color rgb="FF918155"/>
      <sz val="11"/>
      <u val="single"/>
    </font>
    <font>
      <name val="Corporate S BQ"/>
      <b val="1"/>
      <color rgb="FFFF0000"/>
      <sz val="10"/>
    </font>
    <font>
      <name val="Corporate S BQ"/>
      <i val="1"/>
      <color rgb="FFA39161"/>
      <sz val="11"/>
    </font>
    <font>
      <name val="Corporate S BQ"/>
      <sz val="10"/>
    </font>
    <font>
      <name val="Corporate S BQ"/>
      <b val="1"/>
      <i val="1"/>
      <color rgb="FFA39161"/>
      <sz val="11"/>
      <u val="single"/>
    </font>
    <font>
      <name val="Corporate S BQ"/>
      <b val="1"/>
      <color rgb="FFA39161"/>
      <sz val="10"/>
    </font>
    <font>
      <name val="Corporate S BQ"/>
      <b val="1"/>
      <color rgb="FFA39161"/>
      <sz val="14"/>
    </font>
    <font>
      <name val="Corporate S BQ"/>
      <i val="1"/>
      <color theme="1"/>
      <sz val="12"/>
    </font>
    <font>
      <name val="Corporate S BQ"/>
      <b val="1"/>
      <color rgb="FFA39161"/>
      <sz val="11"/>
      <u val="single"/>
    </font>
    <font>
      <name val="Corporate S BQ"/>
      <color rgb="FFA39161"/>
      <sz val="11"/>
    </font>
    <font>
      <name val="Corporate S BQ"/>
      <b val="1"/>
      <i val="1"/>
      <color theme="1"/>
      <sz val="11"/>
    </font>
    <font>
      <name val="Corporate S BQ"/>
      <b val="1"/>
      <i val="1"/>
      <color theme="1"/>
      <sz val="12"/>
    </font>
    <font>
      <name val="Corporate S BQ"/>
      <sz val="12"/>
    </font>
    <font>
      <name val="Corporate S BQ"/>
      <b val="1"/>
      <i val="1"/>
      <color rgb="FFFF0000"/>
      <sz val="10.5"/>
    </font>
    <font>
      <name val="Corporate S BQ"/>
      <i val="1"/>
      <color rgb="FFFF0000"/>
      <sz val="10.5"/>
    </font>
    <font>
      <name val="Corporate S BQ"/>
      <b val="1"/>
      <i val="1"/>
      <color rgb="FFFF0000"/>
      <sz val="11"/>
    </font>
    <font>
      <name val="Corporate S BQ"/>
      <color theme="1"/>
      <sz val="22"/>
    </font>
    <font>
      <name val="Corporate S BQ"/>
      <i val="1"/>
      <color theme="1"/>
      <sz val="22"/>
    </font>
    <font>
      <name val="Corporate S BQ"/>
      <b val="1"/>
      <color rgb="FF00B050"/>
      <sz val="11"/>
    </font>
    <font>
      <name val="Corporate S BQ"/>
      <b val="1"/>
      <color rgb="FFFF0000"/>
      <sz val="11"/>
    </font>
    <font>
      <name val="Corporate S BQ"/>
      <b val="1"/>
      <color theme="1"/>
      <sz val="18"/>
    </font>
    <font>
      <name val="Corporate S BQ"/>
      <color rgb="FFFF0000"/>
      <sz val="11"/>
    </font>
    <font>
      <name val="Corporate S BQ"/>
      <b val="1"/>
      <color theme="3"/>
      <sz val="16"/>
    </font>
    <font>
      <name val="Corporate S BQ"/>
      <color theme="1"/>
      <sz val="12"/>
    </font>
    <font>
      <name val="Corporate S BQ"/>
      <b val="1"/>
      <color theme="1"/>
      <sz val="16"/>
    </font>
    <font>
      <name val="Corporate S BQ"/>
      <b val="1"/>
      <color theme="1"/>
      <sz val="12"/>
    </font>
    <font>
      <name val="Corporate S BQ"/>
      <color rgb="FF00B050"/>
      <sz val="36"/>
    </font>
    <font>
      <name val="Corporate S BQ"/>
      <color rgb="FFFF0000"/>
      <sz val="36"/>
    </font>
    <font>
      <name val="Corporate S BQ"/>
      <b val="1"/>
      <color rgb="FFFF0000"/>
      <sz val="36"/>
    </font>
    <font>
      <name val="Corporate S BQ"/>
      <b val="1"/>
      <i val="1"/>
      <color theme="1"/>
      <sz val="11"/>
      <u val="single"/>
    </font>
    <font>
      <name val="Corporate S BQ"/>
      <b val="1"/>
      <color theme="0"/>
      <sz val="22"/>
    </font>
    <font>
      <name val="Corporate S BQ"/>
      <b val="1"/>
      <color theme="0"/>
      <sz val="20"/>
    </font>
    <font>
      <name val="Calibri"/>
      <family val="2"/>
      <sz val="11"/>
      <scheme val="minor"/>
    </font>
    <font>
      <name val="Corporate S BQ"/>
      <b val="1"/>
      <i val="1"/>
      <color theme="1"/>
      <sz val="22"/>
    </font>
    <font>
      <name val="Corporate S BQ"/>
      <i val="1"/>
      <color rgb="FFFF0000"/>
      <sz val="22"/>
    </font>
    <font>
      <name val="Corporate S BQ"/>
      <color theme="5"/>
      <sz val="22"/>
    </font>
    <font>
      <name val="Corporate S BQ"/>
      <b val="1"/>
      <i val="1"/>
      <color theme="5"/>
      <sz val="11"/>
    </font>
  </fonts>
  <fills count="10">
    <fill>
      <patternFill/>
    </fill>
    <fill>
      <patternFill patternType="gray125"/>
    </fill>
    <fill>
      <patternFill patternType="solid">
        <fgColor rgb="FFA39161"/>
        <bgColor indexed="64"/>
      </patternFill>
    </fill>
    <fill>
      <patternFill patternType="solid">
        <fgColor rgb="FFFFFF00"/>
        <bgColor indexed="64"/>
      </patternFill>
    </fill>
    <fill>
      <patternFill patternType="solid">
        <fgColor theme="4" tint="0.7999816888943144"/>
        <bgColor indexed="64"/>
      </patternFill>
    </fill>
    <fill>
      <patternFill patternType="solid">
        <fgColor rgb="FFE8D9BB"/>
        <bgColor indexed="64"/>
      </patternFill>
    </fill>
    <fill>
      <patternFill patternType="solid">
        <fgColor theme="7" tint="0.7999816888943144"/>
        <bgColor indexed="64"/>
      </patternFill>
    </fill>
    <fill>
      <patternFill patternType="solid">
        <fgColor rgb="FFE0DACA"/>
        <bgColor indexed="64"/>
      </patternFill>
    </fill>
    <fill>
      <patternFill patternType="solid">
        <fgColor theme="9" tint="0.7999816888943144"/>
        <bgColor indexed="64"/>
      </patternFill>
    </fill>
    <fill>
      <patternFill patternType="solid">
        <fgColor theme="5" tint="0.7999816888943144"/>
        <bgColor indexed="64"/>
      </patternFill>
    </fill>
  </fills>
  <borders count="15">
    <border>
      <left/>
      <right/>
      <top/>
      <bottom/>
      <diagonal/>
    </border>
    <border>
      <left/>
      <right/>
      <top/>
      <bottom style="thin">
        <color indexed="64"/>
      </bottom>
      <diagonal/>
    </border>
    <border>
      <left/>
      <right/>
      <top style="thin">
        <color auto="1"/>
      </top>
      <bottom/>
      <diagonal/>
    </border>
    <border>
      <left/>
      <right/>
      <top/>
      <bottom style="medium">
        <color indexed="64"/>
      </bottom>
      <diagonal/>
    </border>
    <border>
      <left/>
      <right/>
      <top style="thin">
        <color auto="1"/>
      </top>
      <bottom style="thin">
        <color auto="1"/>
      </bottom>
      <diagonal/>
    </border>
    <border>
      <left/>
      <right/>
      <top style="thin">
        <color indexed="64"/>
      </top>
      <bottom style="medium">
        <color indexed="64"/>
      </bottom>
      <diagonal/>
    </border>
    <border>
      <left/>
      <right/>
      <top/>
      <bottom style="thick">
        <color auto="1"/>
      </bottom>
      <diagonal/>
    </border>
    <border>
      <left style="thin">
        <color indexed="64"/>
      </left>
      <right style="thin">
        <color indexed="64"/>
      </right>
      <top style="thin">
        <color auto="1"/>
      </top>
      <bottom style="thin">
        <color indexed="64"/>
      </bottom>
      <diagonal/>
    </border>
    <border>
      <left/>
      <right/>
      <top style="hair">
        <color indexed="64"/>
      </top>
      <bottom style="hair">
        <color indexed="64"/>
      </bottom>
      <diagonal/>
    </border>
    <border>
      <left/>
      <right/>
      <top/>
      <bottom style="hair">
        <color auto="1"/>
      </bottom>
      <diagonal/>
    </border>
    <border>
      <left/>
      <right/>
      <top style="hair">
        <color auto="1"/>
      </top>
      <bottom/>
      <diagonal/>
    </border>
    <border>
      <left/>
      <right style="thin">
        <color indexed="64"/>
      </right>
      <top style="thin">
        <color auto="1"/>
      </top>
      <bottom style="thin">
        <color indexed="64"/>
      </bottom>
      <diagonal/>
    </border>
    <border>
      <left style="thin">
        <color indexed="64"/>
      </left>
      <right/>
      <top style="thin">
        <color auto="1"/>
      </top>
      <bottom style="thin">
        <color indexed="64"/>
      </bottom>
      <diagonal/>
    </border>
    <border>
      <left style="thin">
        <color indexed="64"/>
      </left>
      <right style="thin">
        <color indexed="64"/>
      </right>
      <top style="thin">
        <color auto="1"/>
      </top>
      <bottom/>
      <diagonal/>
    </border>
    <border>
      <left style="hair">
        <color auto="1"/>
      </left>
      <right style="hair">
        <color auto="1"/>
      </right>
      <top style="hair">
        <color auto="1"/>
      </top>
      <bottom style="hair">
        <color auto="1"/>
      </bottom>
      <diagonal/>
    </border>
  </borders>
  <cellStyleXfs count="4">
    <xf numFmtId="0" fontId="1" fillId="0" borderId="0"/>
    <xf numFmtId="167" fontId="1" fillId="0" borderId="0"/>
    <xf numFmtId="0" fontId="5" fillId="0" borderId="0"/>
    <xf numFmtId="168" fontId="1" fillId="0" borderId="0"/>
  </cellStyleXfs>
  <cellXfs count="154">
    <xf numFmtId="0" fontId="0" fillId="0" borderId="0" pivotButton="0" quotePrefix="0" xfId="0"/>
    <xf numFmtId="0" fontId="12" fillId="0" borderId="0" applyAlignment="1" applyProtection="1" pivotButton="0" quotePrefix="0" xfId="0">
      <alignment horizontal="center" vertical="center"/>
      <protection locked="0" hidden="0"/>
    </xf>
    <xf numFmtId="164" fontId="33" fillId="0" borderId="0" applyAlignment="1" applyProtection="1" pivotButton="0" quotePrefix="0" xfId="1">
      <alignment horizontal="center" vertical="center"/>
      <protection locked="0" hidden="0"/>
    </xf>
    <xf numFmtId="0" fontId="13" fillId="0" borderId="0" applyProtection="1" pivotButton="0" quotePrefix="0" xfId="0">
      <protection locked="0" hidden="0"/>
    </xf>
    <xf numFmtId="165" fontId="11" fillId="0" borderId="0" applyAlignment="1" applyProtection="1" pivotButton="0" quotePrefix="0" xfId="0">
      <alignment horizontal="left"/>
      <protection locked="0" hidden="0"/>
    </xf>
    <xf numFmtId="0" fontId="12" fillId="0" borderId="2" applyAlignment="1" applyProtection="1" pivotButton="0" quotePrefix="1" xfId="0">
      <alignment horizontal="left" vertical="center" wrapText="1"/>
      <protection locked="0" hidden="0"/>
    </xf>
    <xf numFmtId="0" fontId="12" fillId="0" borderId="2" applyAlignment="1" applyProtection="1" pivotButton="0" quotePrefix="0" xfId="0">
      <alignment horizontal="left" vertical="center" wrapText="1"/>
      <protection locked="0" hidden="0"/>
    </xf>
    <xf numFmtId="0" fontId="12" fillId="0" borderId="0" applyAlignment="1" applyProtection="1" pivotButton="0" quotePrefix="0" xfId="0">
      <alignment horizontal="left" vertical="center" wrapText="1"/>
      <protection locked="0" hidden="0"/>
    </xf>
    <xf numFmtId="0" fontId="13" fillId="0" borderId="2" applyAlignment="1" applyProtection="1" pivotButton="0" quotePrefix="0" xfId="0">
      <alignment horizontal="left" vertical="top" wrapText="1"/>
      <protection locked="0" hidden="0"/>
    </xf>
    <xf numFmtId="0" fontId="13" fillId="0" borderId="0" applyAlignment="1" applyProtection="1" pivotButton="0" quotePrefix="0" xfId="0">
      <alignment horizontal="left" vertical="top" wrapText="1"/>
      <protection locked="0" hidden="0"/>
    </xf>
    <xf numFmtId="0" fontId="40" fillId="0" borderId="1" applyProtection="1" pivotButton="0" quotePrefix="0" xfId="0">
      <protection locked="0" hidden="0"/>
    </xf>
    <xf numFmtId="0" fontId="12" fillId="0" borderId="2" applyAlignment="1" applyProtection="1" pivotButton="0" quotePrefix="0" xfId="0">
      <alignment horizontal="left" vertical="top"/>
      <protection locked="0" hidden="0"/>
    </xf>
    <xf numFmtId="0" fontId="34" fillId="0" borderId="0" applyAlignment="1" applyProtection="1" pivotButton="0" quotePrefix="0" xfId="0">
      <alignment horizontal="left"/>
      <protection locked="0" hidden="0"/>
    </xf>
    <xf numFmtId="0" fontId="34" fillId="3" borderId="0" applyAlignment="1" applyProtection="1" pivotButton="0" quotePrefix="0" xfId="0">
      <alignment horizontal="left"/>
      <protection locked="0" hidden="0"/>
    </xf>
    <xf numFmtId="0" fontId="22" fillId="3" borderId="0" applyProtection="1" pivotButton="0" quotePrefix="0" xfId="0">
      <protection locked="0" hidden="0"/>
    </xf>
    <xf numFmtId="0" fontId="13" fillId="0" borderId="2" applyAlignment="1" applyProtection="1" pivotButton="0" quotePrefix="0" xfId="0">
      <alignment horizontal="center" vertical="center"/>
      <protection locked="0" hidden="0"/>
    </xf>
    <xf numFmtId="0" fontId="13" fillId="0" borderId="0" applyAlignment="1" applyProtection="1" pivotButton="0" quotePrefix="0" xfId="0">
      <alignment horizontal="center" vertical="center"/>
      <protection locked="0" hidden="0"/>
    </xf>
    <xf numFmtId="164" fontId="33" fillId="0" borderId="4" applyAlignment="1" applyProtection="1" pivotButton="0" quotePrefix="0" xfId="1">
      <alignment horizontal="center" vertical="center"/>
      <protection locked="0" hidden="0"/>
    </xf>
    <xf numFmtId="0" fontId="22" fillId="0" borderId="1" applyProtection="1" pivotButton="0" quotePrefix="0" xfId="0">
      <protection locked="0" hidden="0"/>
    </xf>
    <xf numFmtId="0" fontId="12" fillId="6" borderId="9" applyProtection="1" pivotButton="0" quotePrefix="0" xfId="0">
      <protection locked="0" hidden="0"/>
    </xf>
    <xf numFmtId="0" fontId="12" fillId="6" borderId="8" applyProtection="1" pivotButton="0" quotePrefix="0" xfId="0">
      <protection locked="0" hidden="0"/>
    </xf>
    <xf numFmtId="0" fontId="12" fillId="6" borderId="10" applyProtection="1" pivotButton="0" quotePrefix="0" xfId="0">
      <protection locked="0" hidden="0"/>
    </xf>
    <xf numFmtId="0" fontId="12" fillId="0" borderId="0" pivotButton="0" quotePrefix="0" xfId="0"/>
    <xf numFmtId="0" fontId="16" fillId="0" borderId="0" pivotButton="0" quotePrefix="0" xfId="0"/>
    <xf numFmtId="0" fontId="12" fillId="0" borderId="0" applyAlignment="1" pivotButton="0" quotePrefix="0" xfId="0">
      <alignment horizontal="center"/>
    </xf>
    <xf numFmtId="0" fontId="18" fillId="0" borderId="0" applyAlignment="1" pivotButton="0" quotePrefix="1" xfId="2">
      <alignment horizontal="left" vertical="center"/>
    </xf>
    <xf numFmtId="166" fontId="33" fillId="0" borderId="0" applyAlignment="1" applyProtection="1" pivotButton="0" quotePrefix="0" xfId="1">
      <alignment horizontal="center" vertical="center"/>
      <protection locked="0" hidden="0"/>
    </xf>
    <xf numFmtId="0" fontId="52" fillId="7" borderId="7" pivotButton="0" quotePrefix="0" xfId="0"/>
    <xf numFmtId="0" fontId="52" fillId="7" borderId="7" applyAlignment="1" pivotButton="0" quotePrefix="0" xfId="0">
      <alignment wrapText="1"/>
    </xf>
    <xf numFmtId="0" fontId="53" fillId="6" borderId="7" applyAlignment="1" pivotButton="0" quotePrefix="0" xfId="0">
      <alignment horizontal="left" vertical="center" wrapText="1"/>
    </xf>
    <xf numFmtId="0" fontId="54" fillId="6" borderId="7" applyAlignment="1" pivotButton="0" quotePrefix="0" xfId="0">
      <alignment horizontal="center" vertical="center" wrapText="1"/>
    </xf>
    <xf numFmtId="0" fontId="12" fillId="0" borderId="7" pivotButton="0" quotePrefix="0" xfId="0"/>
    <xf numFmtId="0" fontId="55" fillId="6" borderId="7" applyAlignment="1" pivotButton="0" quotePrefix="0" xfId="0">
      <alignment horizontal="center" vertical="center" wrapText="1"/>
    </xf>
    <xf numFmtId="0" fontId="56" fillId="0" borderId="0" pivotButton="0" quotePrefix="0" xfId="0"/>
    <xf numFmtId="0" fontId="13" fillId="0" borderId="7" applyAlignment="1" applyProtection="1" pivotButton="0" quotePrefix="0" xfId="0">
      <alignment horizontal="center" vertical="center"/>
      <protection locked="0" hidden="0"/>
    </xf>
    <xf numFmtId="0" fontId="36" fillId="0" borderId="0" applyAlignment="1" pivotButton="0" quotePrefix="1" xfId="2">
      <alignment horizontal="left" vertical="center"/>
    </xf>
    <xf numFmtId="0" fontId="27" fillId="3" borderId="0" applyAlignment="1" applyProtection="1" pivotButton="0" quotePrefix="0" xfId="0">
      <alignment horizontal="left"/>
      <protection locked="0" hidden="0"/>
    </xf>
    <xf numFmtId="0" fontId="12" fillId="0" borderId="4" applyAlignment="1" applyProtection="1" pivotButton="0" quotePrefix="0" xfId="0">
      <alignment horizontal="left" vertical="center" wrapText="1"/>
      <protection locked="0" hidden="0"/>
    </xf>
    <xf numFmtId="0" fontId="35" fillId="6" borderId="7" applyAlignment="1" pivotButton="0" quotePrefix="0" xfId="0">
      <alignment vertical="top" wrapText="1"/>
    </xf>
    <xf numFmtId="0" fontId="13" fillId="3" borderId="0" applyProtection="1" pivotButton="0" quotePrefix="0" xfId="0">
      <protection locked="0" hidden="0"/>
    </xf>
    <xf numFmtId="0" fontId="13" fillId="0" borderId="13" applyAlignment="1" applyProtection="1" pivotButton="0" quotePrefix="0" xfId="0">
      <alignment horizontal="center" vertical="center"/>
      <protection locked="0" hidden="0"/>
    </xf>
    <xf numFmtId="164" fontId="6" fillId="0" borderId="4" applyAlignment="1" applyProtection="1" pivotButton="0" quotePrefix="0" xfId="1">
      <alignment horizontal="center" vertical="center"/>
      <protection locked="0" hidden="0"/>
    </xf>
    <xf numFmtId="0" fontId="8" fillId="2" borderId="5" applyAlignment="1" pivotButton="0" quotePrefix="0" xfId="0">
      <alignment horizontal="center" vertical="center"/>
    </xf>
    <xf numFmtId="4" fontId="12" fillId="9" borderId="0" applyProtection="1" pivotButton="0" quotePrefix="0" xfId="0">
      <protection locked="0" hidden="0"/>
    </xf>
    <xf numFmtId="4" fontId="15" fillId="0" borderId="0" applyAlignment="1" applyProtection="1" pivotButton="0" quotePrefix="0" xfId="0">
      <alignment horizontal="center" vertical="center" wrapText="1"/>
      <protection locked="0" hidden="0"/>
    </xf>
    <xf numFmtId="0" fontId="27" fillId="0" borderId="0" applyAlignment="1" pivotButton="0" quotePrefix="0" xfId="0">
      <alignment horizontal="left"/>
    </xf>
    <xf numFmtId="0" fontId="6" fillId="0" borderId="0" pivotButton="0" quotePrefix="0" xfId="0"/>
    <xf numFmtId="0" fontId="48" fillId="2" borderId="0" pivotButton="0" quotePrefix="0" xfId="0"/>
    <xf numFmtId="0" fontId="9" fillId="0" borderId="0" applyAlignment="1" pivotButton="0" quotePrefix="0" xfId="0">
      <alignment horizontal="right" vertical="top"/>
    </xf>
    <xf numFmtId="0" fontId="20" fillId="0" borderId="0" applyAlignment="1" pivotButton="0" quotePrefix="0" xfId="0">
      <alignment horizontal="left" indent="2"/>
    </xf>
    <xf numFmtId="0" fontId="17" fillId="0" borderId="0" applyAlignment="1" pivotButton="0" quotePrefix="1" xfId="0">
      <alignment horizontal="left" vertical="center" wrapText="1"/>
    </xf>
    <xf numFmtId="0" fontId="43" fillId="0" borderId="0" applyAlignment="1" pivotButton="0" quotePrefix="1" xfId="0">
      <alignment horizontal="right" vertical="center" wrapText="1"/>
    </xf>
    <xf numFmtId="4" fontId="10" fillId="0" borderId="0" applyAlignment="1" pivotButton="0" quotePrefix="0" xfId="0">
      <alignment horizontal="center" wrapText="1"/>
    </xf>
    <xf numFmtId="0" fontId="51" fillId="0" borderId="0" pivotButton="0" quotePrefix="0" xfId="0"/>
    <xf numFmtId="0" fontId="8" fillId="2" borderId="3" applyAlignment="1" pivotButton="0" quotePrefix="0" xfId="0">
      <alignment horizontal="center" vertical="center"/>
    </xf>
    <xf numFmtId="0" fontId="32" fillId="0" borderId="0" pivotButton="0" quotePrefix="0" xfId="0"/>
    <xf numFmtId="4" fontId="17" fillId="0" borderId="0" applyAlignment="1" pivotButton="0" quotePrefix="1" xfId="0">
      <alignment horizontal="center" vertical="center" wrapText="1"/>
    </xf>
    <xf numFmtId="0" fontId="35" fillId="0" borderId="0" applyAlignment="1" pivotButton="0" quotePrefix="0" xfId="0">
      <alignment horizontal="right" vertical="center"/>
    </xf>
    <xf numFmtId="0" fontId="21" fillId="0" borderId="0" pivotButton="0" quotePrefix="0" xfId="0"/>
    <xf numFmtId="0" fontId="23" fillId="0" borderId="0" applyAlignment="1" pivotButton="0" quotePrefix="0" xfId="0">
      <alignment wrapText="1"/>
    </xf>
    <xf numFmtId="164" fontId="12" fillId="0" borderId="0" pivotButton="0" quotePrefix="0" xfId="0"/>
    <xf numFmtId="0" fontId="8" fillId="2" borderId="0" applyAlignment="1" pivotButton="0" quotePrefix="0" xfId="0">
      <alignment horizontal="center" vertical="center"/>
    </xf>
    <xf numFmtId="0" fontId="8" fillId="2" borderId="3" applyAlignment="1" pivotButton="0" quotePrefix="0" xfId="0">
      <alignment horizontal="center" vertical="center" wrapText="1"/>
    </xf>
    <xf numFmtId="0" fontId="8" fillId="2" borderId="0" applyAlignment="1" pivotButton="0" quotePrefix="0" xfId="0">
      <alignment horizontal="center" vertical="center" wrapText="1"/>
    </xf>
    <xf numFmtId="164" fontId="31" fillId="0" borderId="0" applyAlignment="1" pivotButton="0" quotePrefix="0" xfId="1">
      <alignment horizontal="center" vertical="center"/>
    </xf>
    <xf numFmtId="164" fontId="31" fillId="0" borderId="0" applyAlignment="1" pivotButton="0" quotePrefix="0" xfId="1">
      <alignment horizontal="center" vertical="center"/>
    </xf>
    <xf numFmtId="0" fontId="13" fillId="0" borderId="4" applyAlignment="1" pivotButton="0" quotePrefix="0" xfId="0">
      <alignment horizontal="left" vertical="center" wrapText="1"/>
    </xf>
    <xf numFmtId="0" fontId="13" fillId="0" borderId="4" applyAlignment="1" pivotButton="0" quotePrefix="0" xfId="0">
      <alignment horizontal="left" vertical="top" wrapText="1"/>
    </xf>
    <xf numFmtId="0" fontId="13" fillId="0" borderId="7" applyAlignment="1" pivotButton="0" quotePrefix="0" xfId="0">
      <alignment horizontal="center" vertical="top" wrapText="1"/>
    </xf>
    <xf numFmtId="0" fontId="14" fillId="0" borderId="0" applyAlignment="1" pivotButton="0" quotePrefix="0" xfId="0">
      <alignment horizontal="left" vertical="top" indent="1"/>
    </xf>
    <xf numFmtId="0" fontId="39" fillId="0" borderId="0" applyAlignment="1" pivotButton="0" quotePrefix="0" xfId="0">
      <alignment horizontal="right" vertical="center"/>
    </xf>
    <xf numFmtId="0" fontId="20" fillId="0" borderId="0" applyAlignment="1" pivotButton="0" quotePrefix="0" xfId="0">
      <alignment horizontal="left" vertical="center" indent="2"/>
    </xf>
    <xf numFmtId="0" fontId="8" fillId="2" borderId="6" applyAlignment="1" pivotButton="0" quotePrefix="0" xfId="0">
      <alignment horizontal="center" vertical="center"/>
    </xf>
    <xf numFmtId="0" fontId="13" fillId="0" borderId="2" applyAlignment="1" pivotButton="0" quotePrefix="0" xfId="0">
      <alignment horizontal="left" vertical="center" wrapText="1"/>
    </xf>
    <xf numFmtId="0" fontId="13" fillId="0" borderId="2" applyAlignment="1" pivotButton="0" quotePrefix="0" xfId="0">
      <alignment horizontal="left" vertical="top" wrapText="1"/>
    </xf>
    <xf numFmtId="0" fontId="13" fillId="0" borderId="13" applyAlignment="1" pivotButton="0" quotePrefix="0" xfId="0">
      <alignment horizontal="center" vertical="top" wrapText="1"/>
    </xf>
    <xf numFmtId="0" fontId="9" fillId="0" borderId="0" pivotButton="0" quotePrefix="0" xfId="0"/>
    <xf numFmtId="0" fontId="45" fillId="0" borderId="0" pivotButton="0" quotePrefix="0" xfId="0"/>
    <xf numFmtId="0" fontId="44" fillId="0" borderId="0" pivotButton="0" quotePrefix="0" xfId="0"/>
    <xf numFmtId="0" fontId="61" fillId="0" borderId="0" pivotButton="0" quotePrefix="0" xfId="0"/>
    <xf numFmtId="0" fontId="62" fillId="0" borderId="0" pivotButton="0" quotePrefix="0" xfId="0"/>
    <xf numFmtId="0" fontId="58" fillId="2" borderId="0" pivotButton="0" quotePrefix="0" xfId="0"/>
    <xf numFmtId="0" fontId="44" fillId="0" borderId="14" pivotButton="0" quotePrefix="0" xfId="0"/>
    <xf numFmtId="0" fontId="60" fillId="0" borderId="14" applyAlignment="1" pivotButton="0" quotePrefix="0" xfId="0">
      <alignment wrapText="1"/>
    </xf>
    <xf numFmtId="0" fontId="60" fillId="0" borderId="0" applyAlignment="1" pivotButton="0" quotePrefix="0" xfId="0">
      <alignment wrapText="1"/>
    </xf>
    <xf numFmtId="0" fontId="44" fillId="0" borderId="14" applyAlignment="1" pivotButton="0" quotePrefix="0" xfId="0">
      <alignment wrapText="1"/>
    </xf>
    <xf numFmtId="0" fontId="63" fillId="0" borderId="14" applyAlignment="1" pivotButton="0" quotePrefix="0" xfId="0">
      <alignment wrapText="1"/>
    </xf>
    <xf numFmtId="0" fontId="44" fillId="0" borderId="0" applyAlignment="1" pivotButton="0" quotePrefix="0" xfId="0">
      <alignment wrapText="1"/>
    </xf>
    <xf numFmtId="0" fontId="26" fillId="0" borderId="0" pivotButton="0" quotePrefix="0" xfId="0"/>
    <xf numFmtId="0" fontId="2" fillId="0" borderId="0" applyAlignment="1" pivotButton="0" quotePrefix="0" xfId="0">
      <alignment vertical="top"/>
    </xf>
    <xf numFmtId="0" fontId="21" fillId="0" borderId="0" applyAlignment="1" pivotButton="0" quotePrefix="0" xfId="0">
      <alignment vertical="top"/>
    </xf>
    <xf numFmtId="0" fontId="25" fillId="0" borderId="0" pivotButton="0" quotePrefix="0" xfId="0"/>
    <xf numFmtId="0" fontId="2" fillId="0" borderId="0" pivotButton="0" quotePrefix="0" xfId="0"/>
    <xf numFmtId="0" fontId="37" fillId="0" borderId="0" applyAlignment="1" pivotButton="0" quotePrefix="0" xfId="0">
      <alignment horizontal="left"/>
    </xf>
    <xf numFmtId="0" fontId="29" fillId="0" borderId="0" pivotButton="0" quotePrefix="0" xfId="0"/>
    <xf numFmtId="0" fontId="6" fillId="3" borderId="0" pivotButton="0" quotePrefix="0" xfId="0"/>
    <xf numFmtId="0" fontId="7" fillId="0" borderId="0" pivotButton="0" quotePrefix="0" xfId="0"/>
    <xf numFmtId="0" fontId="13" fillId="0" borderId="0" pivotButton="0" quotePrefix="0" xfId="0"/>
    <xf numFmtId="0" fontId="22" fillId="0" borderId="0" applyAlignment="1" pivotButton="0" quotePrefix="0" xfId="0">
      <alignment horizontal="center" vertical="center"/>
    </xf>
    <xf numFmtId="0" fontId="23" fillId="0" borderId="0" pivotButton="0" quotePrefix="0" xfId="0"/>
    <xf numFmtId="0" fontId="24" fillId="0" borderId="0" applyAlignment="1" pivotButton="0" quotePrefix="0" xfId="0">
      <alignment vertical="center"/>
    </xf>
    <xf numFmtId="0" fontId="3" fillId="0" borderId="0" applyAlignment="1" pivotButton="0" quotePrefix="0" xfId="0">
      <alignment vertical="center"/>
    </xf>
    <xf numFmtId="0" fontId="25" fillId="0" borderId="0" applyAlignment="1" pivotButton="0" quotePrefix="0" xfId="0">
      <alignment vertical="center"/>
    </xf>
    <xf numFmtId="0" fontId="22" fillId="0" borderId="0" pivotButton="0" quotePrefix="0" xfId="0"/>
    <xf numFmtId="0" fontId="64" fillId="0" borderId="0" pivotButton="0" quotePrefix="0" xfId="0"/>
    <xf numFmtId="0" fontId="23" fillId="0" borderId="0" applyAlignment="1" pivotButton="0" quotePrefix="0" xfId="0">
      <alignment horizontal="left"/>
    </xf>
    <xf numFmtId="0" fontId="27" fillId="0" borderId="0" applyAlignment="1" pivotButton="0" quotePrefix="0" xfId="0">
      <alignment vertical="center"/>
    </xf>
    <xf numFmtId="0" fontId="27" fillId="0" borderId="0" pivotButton="0" quotePrefix="0" xfId="0"/>
    <xf numFmtId="0" fontId="16" fillId="4" borderId="0" pivotButton="0" quotePrefix="0" xfId="0"/>
    <xf numFmtId="4" fontId="12" fillId="2" borderId="0" pivotButton="0" quotePrefix="0" xfId="0"/>
    <xf numFmtId="0" fontId="12" fillId="6" borderId="0" pivotButton="0" quotePrefix="0" xfId="0"/>
    <xf numFmtId="4" fontId="12" fillId="8" borderId="0" pivotButton="0" quotePrefix="0" xfId="0"/>
    <xf numFmtId="0" fontId="12" fillId="0" borderId="0" applyAlignment="1" pivotButton="0" quotePrefix="0" xfId="0">
      <alignment vertical="top"/>
    </xf>
    <xf numFmtId="0" fontId="19" fillId="0" borderId="0" pivotButton="0" quotePrefix="0" xfId="0"/>
    <xf numFmtId="0" fontId="16" fillId="5" borderId="0" pivotButton="0" quotePrefix="0" xfId="0"/>
    <xf numFmtId="0" fontId="16" fillId="5" borderId="0" applyAlignment="1" pivotButton="0" quotePrefix="0" xfId="0">
      <alignment wrapText="1"/>
    </xf>
    <xf numFmtId="0" fontId="16" fillId="0" borderId="12" pivotButton="0" quotePrefix="0" xfId="0"/>
    <xf numFmtId="0" fontId="12" fillId="0" borderId="11" pivotButton="0" quotePrefix="0" xfId="0"/>
    <xf numFmtId="4" fontId="12" fillId="2" borderId="7" pivotButton="0" quotePrefix="0" xfId="0"/>
    <xf numFmtId="0" fontId="16" fillId="5" borderId="0" applyAlignment="1" pivotButton="0" quotePrefix="0" xfId="0">
      <alignment horizontal="center" wrapText="1"/>
    </xf>
    <xf numFmtId="0" fontId="12" fillId="0" borderId="12" pivotButton="0" quotePrefix="0" xfId="0"/>
    <xf numFmtId="0" fontId="16" fillId="0" borderId="11" pivotButton="0" quotePrefix="0" xfId="0"/>
    <xf numFmtId="4" fontId="16" fillId="2" borderId="7" pivotButton="0" quotePrefix="0" xfId="0"/>
    <xf numFmtId="0" fontId="50" fillId="0" borderId="0" pivotButton="0" quotePrefix="0" xfId="0"/>
    <xf numFmtId="0" fontId="12" fillId="9" borderId="0" pivotButton="0" quotePrefix="0" xfId="0"/>
    <xf numFmtId="0" fontId="57" fillId="0" borderId="0" pivotButton="0" quotePrefix="0" xfId="0"/>
    <xf numFmtId="0" fontId="12" fillId="8" borderId="0" pivotButton="0" quotePrefix="0" xfId="0"/>
    <xf numFmtId="0" fontId="12" fillId="2" borderId="0" pivotButton="0" quotePrefix="0" xfId="0"/>
    <xf numFmtId="0" fontId="46" fillId="0" borderId="0" pivotButton="0" quotePrefix="0" xfId="0"/>
    <xf numFmtId="0" fontId="47" fillId="0" borderId="0" pivotButton="0" quotePrefix="0" xfId="0"/>
    <xf numFmtId="0" fontId="0" fillId="0" borderId="0" applyAlignment="1" pivotButton="0" quotePrefix="0" xfId="0">
      <alignment vertical="center" wrapText="1"/>
    </xf>
    <xf numFmtId="0" fontId="12" fillId="0" borderId="0" applyAlignment="1" pivotButton="0" quotePrefix="0" xfId="0">
      <alignment horizontal="center"/>
    </xf>
    <xf numFmtId="0" fontId="48" fillId="2" borderId="0" applyAlignment="1" pivotButton="0" quotePrefix="0" xfId="0">
      <alignment horizontal="left" vertical="center"/>
    </xf>
    <xf numFmtId="0" fontId="0" fillId="0" borderId="0" applyAlignment="1" pivotButton="0" quotePrefix="0" xfId="0">
      <alignment vertical="center"/>
    </xf>
    <xf numFmtId="0" fontId="59" fillId="2" borderId="0" applyAlignment="1" pivotButton="0" quotePrefix="0" xfId="0">
      <alignment horizontal="left" vertical="center"/>
    </xf>
    <xf numFmtId="0" fontId="0" fillId="0" borderId="0" applyAlignment="1" pivotButton="0" quotePrefix="0" xfId="0">
      <alignment horizontal="center"/>
    </xf>
    <xf numFmtId="0" fontId="9" fillId="2" borderId="0" applyAlignment="1" pivotButton="0" quotePrefix="0" xfId="0">
      <alignment horizontal="left" vertical="top"/>
    </xf>
    <xf numFmtId="0" fontId="16" fillId="7" borderId="0" applyAlignment="1" pivotButton="0" quotePrefix="0" xfId="0">
      <alignment horizontal="left"/>
    </xf>
    <xf numFmtId="0" fontId="16" fillId="4" borderId="0" applyAlignment="1" pivotButton="0" quotePrefix="0" xfId="0">
      <alignment horizontal="left" vertical="top" wrapText="1"/>
    </xf>
    <xf numFmtId="0" fontId="16" fillId="4" borderId="0" applyAlignment="1" pivotButton="0" quotePrefix="0" xfId="0">
      <alignment horizontal="left" vertical="top"/>
    </xf>
    <xf numFmtId="0" fontId="12" fillId="6" borderId="0" applyAlignment="1" pivotButton="0" quotePrefix="0" xfId="0">
      <alignment horizontal="left"/>
    </xf>
    <xf numFmtId="0" fontId="12" fillId="0" borderId="0" applyAlignment="1" pivotButton="0" quotePrefix="0" xfId="0">
      <alignment horizontal="left"/>
    </xf>
    <xf numFmtId="0" fontId="48" fillId="2" borderId="0" applyAlignment="1" pivotButton="0" quotePrefix="0" xfId="0">
      <alignment horizontal="center" vertical="top"/>
    </xf>
    <xf numFmtId="0" fontId="49" fillId="0" borderId="0" applyAlignment="1" pivotButton="0" quotePrefix="0" xfId="0">
      <alignment horizontal="left"/>
    </xf>
    <xf numFmtId="0" fontId="12" fillId="0" borderId="0" applyAlignment="1" pivotButton="0" quotePrefix="0" xfId="0">
      <alignment horizontal="left" vertical="top" wrapText="1"/>
    </xf>
    <xf numFmtId="0" fontId="12" fillId="0" borderId="0" applyAlignment="1" pivotButton="0" quotePrefix="0" xfId="0">
      <alignment horizontal="left" wrapText="1"/>
    </xf>
    <xf numFmtId="0" fontId="48" fillId="2" borderId="0" applyAlignment="1" pivotButton="0" quotePrefix="0" xfId="0">
      <alignment horizontal="left" vertical="top"/>
    </xf>
    <xf numFmtId="165" fontId="11" fillId="0" borderId="0" applyAlignment="1" applyProtection="1" pivotButton="0" quotePrefix="0" xfId="0">
      <alignment horizontal="left"/>
      <protection locked="0" hidden="0"/>
    </xf>
    <xf numFmtId="164" fontId="12" fillId="0" borderId="0" pivotButton="0" quotePrefix="0" xfId="0"/>
    <xf numFmtId="164" fontId="6" fillId="0" borderId="4" applyAlignment="1" applyProtection="1" pivotButton="0" quotePrefix="0" xfId="1">
      <alignment horizontal="center" vertical="center"/>
      <protection locked="0" hidden="0"/>
    </xf>
    <xf numFmtId="164" fontId="33" fillId="0" borderId="4" applyAlignment="1" applyProtection="1" pivotButton="0" quotePrefix="0" xfId="1">
      <alignment horizontal="center" vertical="center"/>
      <protection locked="0" hidden="0"/>
    </xf>
    <xf numFmtId="166" fontId="33" fillId="0" borderId="0" applyAlignment="1" applyProtection="1" pivotButton="0" quotePrefix="0" xfId="1">
      <alignment horizontal="center" vertical="center"/>
      <protection locked="0" hidden="0"/>
    </xf>
    <xf numFmtId="164" fontId="31" fillId="0" borderId="0" applyAlignment="1" pivotButton="0" quotePrefix="0" xfId="1">
      <alignment horizontal="center" vertical="center"/>
    </xf>
    <xf numFmtId="164" fontId="33" fillId="0" borderId="0" applyAlignment="1" applyProtection="1" pivotButton="0" quotePrefix="0" xfId="1">
      <alignment horizontal="center" vertical="center"/>
      <protection locked="0" hidden="0"/>
    </xf>
  </cellXfs>
  <cellStyles count="4">
    <cellStyle name="Normal" xfId="0" builtinId="0"/>
    <cellStyle name="Comma" xfId="1" builtinId="3"/>
    <cellStyle name="Hyperlink" xfId="2" builtinId="8"/>
    <cellStyle name="Currency 2" xfId="3"/>
  </cellStyles>
  <dxfs count="57">
    <dxf>
      <font>
        <name val="Corporate S BQ"/>
        <strike val="0"/>
        <outline val="0"/>
        <shadow val="0"/>
        <condense val="0"/>
        <color theme="1"/>
        <extend val="0"/>
        <sz val="11"/>
        <vertAlign val="baseline"/>
      </font>
      <alignment horizontal="left" vertical="center" wrapText="1"/>
      <border>
        <left/>
        <right/>
        <top style="thin">
          <color auto="1"/>
        </top>
        <bottom style="thin">
          <color auto="1"/>
        </bottom>
        <vertical/>
        <horizontal/>
      </border>
      <protection locked="0" hidden="0"/>
    </dxf>
    <dxf>
      <font>
        <name val="Corporate S BQ"/>
        <strike val="0"/>
        <outline val="0"/>
        <shadow val="0"/>
        <condense val="0"/>
        <color auto="1"/>
        <extend val="0"/>
        <sz val="11"/>
        <vertAlign val="baseline"/>
      </font>
      <alignment horizontal="center" vertical="center"/>
      <border>
        <left style="thin">
          <color indexed="64"/>
        </left>
        <right style="thin">
          <color indexed="64"/>
        </right>
        <top style="thin">
          <color auto="1"/>
        </top>
        <bottom style="thin">
          <color indexed="64"/>
        </bottom>
        <vertical/>
        <horizontal/>
      </border>
      <protection locked="0" hidden="0"/>
    </dxf>
    <dxf>
      <font>
        <name val="Corporate S BQ"/>
        <strike val="0"/>
        <outline val="0"/>
        <shadow val="0"/>
        <condense val="0"/>
        <color auto="1"/>
        <extend val="0"/>
        <sz val="11"/>
        <vertAlign val="baseline"/>
      </font>
      <alignment horizontal="center" vertical="center"/>
      <border>
        <left style="thin">
          <color indexed="64"/>
        </left>
        <right style="thin">
          <color indexed="64"/>
        </right>
        <top style="thin">
          <color auto="1"/>
        </top>
        <bottom style="thin">
          <color indexed="64"/>
        </bottom>
        <vertical/>
        <horizontal/>
      </border>
      <protection locked="0" hidden="0"/>
    </dxf>
    <dxf>
      <font>
        <name val="Corporate S BQ"/>
        <strike val="0"/>
        <outline val="0"/>
        <shadow val="0"/>
        <condense val="0"/>
        <color auto="1"/>
        <extend val="0"/>
        <sz val="11"/>
        <vertAlign val="baseline"/>
      </font>
      <alignment horizontal="center" vertical="center"/>
      <border>
        <left style="thin">
          <color indexed="64"/>
        </left>
        <right style="thin">
          <color indexed="64"/>
        </right>
        <top style="thin">
          <color auto="1"/>
        </top>
        <bottom style="thin">
          <color indexed="64"/>
        </bottom>
        <vertical/>
        <horizontal/>
      </border>
      <protection locked="0" hidden="0"/>
    </dxf>
    <dxf>
      <font>
        <name val="Corporate S BQ"/>
        <strike val="0"/>
        <outline val="0"/>
        <shadow val="0"/>
        <condense val="0"/>
        <color auto="1"/>
        <extend val="0"/>
        <sz val="11"/>
        <vertAlign val="baseline"/>
      </font>
      <alignment horizontal="center" vertical="center"/>
      <border>
        <left style="thin">
          <color indexed="64"/>
        </left>
        <right style="thin">
          <color indexed="64"/>
        </right>
        <top style="thin">
          <color auto="1"/>
        </top>
        <bottom style="thin">
          <color indexed="64"/>
        </bottom>
        <vertical/>
        <horizontal/>
      </border>
      <protection locked="0" hidden="0"/>
    </dxf>
    <dxf>
      <font>
        <name val="Corporate S BQ"/>
        <strike val="0"/>
        <outline val="0"/>
        <shadow val="0"/>
        <condense val="0"/>
        <color auto="1"/>
        <extend val="0"/>
        <sz val="11"/>
        <vertAlign val="baseline"/>
      </font>
      <alignment horizontal="center" vertical="center"/>
      <border>
        <left style="thin">
          <color indexed="64"/>
        </left>
        <right style="thin">
          <color indexed="64"/>
        </right>
        <top style="thin">
          <color auto="1"/>
        </top>
        <bottom style="thin">
          <color indexed="64"/>
        </bottom>
        <vertical/>
        <horizontal/>
      </border>
      <protection locked="0" hidden="0"/>
    </dxf>
    <dxf>
      <font>
        <name val="Corporate S BQ"/>
        <strike val="0"/>
        <outline val="0"/>
        <shadow val="0"/>
        <condense val="0"/>
        <color auto="1"/>
        <extend val="0"/>
        <sz val="11"/>
        <vertAlign val="baseline"/>
      </font>
      <alignment horizontal="center" vertical="top" wrapText="1"/>
      <border>
        <left style="thin">
          <color indexed="64"/>
        </left>
        <right style="thin">
          <color indexed="64"/>
        </right>
        <top style="thin">
          <color auto="1"/>
        </top>
        <bottom style="thin">
          <color indexed="64"/>
        </bottom>
        <vertical/>
        <horizontal/>
      </border>
      <protection locked="1" hidden="0"/>
    </dxf>
    <dxf>
      <font>
        <name val="Corporate S BQ"/>
        <strike val="0"/>
        <outline val="0"/>
        <shadow val="0"/>
        <condense val="0"/>
        <color auto="1"/>
        <extend val="0"/>
        <sz val="11"/>
        <vertAlign val="baseline"/>
      </font>
      <alignment horizontal="left" vertical="top" wrapText="1"/>
      <border>
        <left/>
        <right/>
        <top style="thin">
          <color auto="1"/>
        </top>
        <bottom style="thin">
          <color auto="1"/>
        </bottom>
        <vertical/>
        <horizontal/>
      </border>
      <protection locked="1" hidden="0"/>
    </dxf>
    <dxf>
      <font>
        <name val="Corporate S BQ"/>
        <strike val="0"/>
        <outline val="0"/>
        <shadow val="0"/>
        <condense val="0"/>
        <color auto="1"/>
        <extend val="0"/>
        <sz val="11"/>
        <vertAlign val="baseline"/>
      </font>
      <alignment horizontal="left" vertical="center" wrapText="1"/>
      <border>
        <left/>
        <right/>
        <top style="thin">
          <color auto="1"/>
        </top>
        <bottom style="thin">
          <color auto="1"/>
        </bottom>
        <vertical/>
        <horizontal/>
      </border>
      <protection locked="1" hidden="0"/>
    </dxf>
    <dxf>
      <font>
        <name val="Corporate S BQ"/>
        <strike val="0"/>
        <outline val="0"/>
        <shadow val="0"/>
        <condense val="0"/>
        <color auto="1"/>
        <extend val="0"/>
        <sz val="11"/>
        <vertAlign val="baseline"/>
      </font>
      <alignment horizontal="left" vertical="center" wrapText="1"/>
      <border>
        <left/>
        <right/>
        <top style="thin">
          <color auto="1"/>
        </top>
        <bottom style="thin">
          <color auto="1"/>
        </bottom>
        <vertical/>
        <horizontal/>
      </border>
      <protection locked="1" hidden="0"/>
    </dxf>
    <dxf>
      <font>
        <name val="Corporate S BQ"/>
        <strike val="0"/>
        <outline val="0"/>
        <shadow val="0"/>
        <condense val="0"/>
        <color auto="1"/>
        <extend val="0"/>
        <sz val="11"/>
        <vertAlign val="baseline"/>
      </font>
      <alignment horizontal="left" vertical="center" wrapText="1"/>
      <border>
        <left/>
        <right/>
        <top style="thin">
          <color auto="1"/>
        </top>
        <bottom style="thin">
          <color auto="1"/>
        </bottom>
        <vertical/>
        <horizontal/>
      </border>
      <protection locked="1" hidden="0"/>
    </dxf>
    <dxf>
      <font>
        <name val="Corporate S BQ"/>
        <strike val="0"/>
        <outline val="0"/>
        <shadow val="0"/>
        <condense val="0"/>
        <color auto="1"/>
        <extend val="0"/>
        <sz val="11"/>
        <vertAlign val="baseline"/>
      </font>
      <alignment horizontal="left" vertical="center" wrapText="1"/>
      <border>
        <left/>
        <right/>
        <top style="thin">
          <color auto="1"/>
        </top>
        <bottom style="thin">
          <color auto="1"/>
        </bottom>
        <vertical/>
        <horizontal/>
      </border>
      <protection locked="1" hidden="0"/>
    </dxf>
    <dxf>
      <border outline="0">
        <right style="thin">
          <color indexed="64"/>
        </right>
        <top style="thin">
          <color indexed="64"/>
        </top>
        <bottom style="thin">
          <color auto="1"/>
        </bottom>
      </border>
    </dxf>
    <dxf>
      <font>
        <name val="Corporate S BQ"/>
        <strike val="0"/>
        <outline val="0"/>
        <shadow val="0"/>
        <condense val="0"/>
        <color auto="1"/>
        <extend val="0"/>
        <sz val="11"/>
        <vertAlign val="baseline"/>
      </font>
      <alignment horizontal="center" vertical="center"/>
      <protection locked="1" hidden="0"/>
    </dxf>
    <dxf>
      <font>
        <name val="Corporate S BQ"/>
        <b val="1"/>
        <strike val="0"/>
        <outline val="0"/>
        <shadow val="0"/>
        <condense val="0"/>
        <color theme="0"/>
        <extend val="0"/>
        <sz val="12"/>
        <vertAlign val="baseline"/>
      </font>
      <fill>
        <patternFill patternType="solid">
          <fgColor indexed="64"/>
          <bgColor rgb="FFA39161"/>
        </patternFill>
      </fill>
      <alignment horizontal="center" vertical="center"/>
      <protection locked="1" hidden="0"/>
    </dxf>
    <dxf>
      <font>
        <name val="Corporate S BQ"/>
        <strike val="0"/>
        <outline val="0"/>
        <shadow val="0"/>
        <vertAlign val="baseline"/>
      </font>
      <alignment horizontal="center" vertical="center"/>
      <protection locked="0" hidden="0"/>
    </dxf>
    <dxf>
      <font>
        <name val="Corporate S BQ"/>
        <b val="1"/>
        <i val="1"/>
        <strike val="0"/>
        <outline val="0"/>
        <shadow val="0"/>
        <color rgb="FFA39161"/>
        <sz val="10"/>
        <vertAlign val="baseline"/>
      </font>
      <numFmt numFmtId="4" formatCode="#,##0.00"/>
      <alignment horizontal="center" vertical="center" wrapText="1"/>
      <protection locked="0" hidden="0"/>
    </dxf>
    <dxf>
      <font>
        <name val="Corporate S BQ"/>
        <strike val="0"/>
        <outline val="0"/>
        <shadow val="0"/>
        <vertAlign val="baseline"/>
      </font>
      <alignment horizontal="center" vertical="center"/>
      <border>
        <left/>
        <right/>
        <top style="thin">
          <color auto="1"/>
        </top>
        <bottom/>
      </border>
      <protection locked="0" hidden="0"/>
    </dxf>
    <dxf>
      <border outline="0">
        <top style="thin">
          <color auto="1"/>
        </top>
      </border>
    </dxf>
    <dxf>
      <border outline="0">
        <top style="thin">
          <color auto="1"/>
        </top>
        <bottom style="thin">
          <color auto="1"/>
        </bottom>
      </border>
    </dxf>
    <dxf>
      <font>
        <name val="Corporate S BQ"/>
        <strike val="0"/>
        <outline val="0"/>
        <shadow val="0"/>
        <vertAlign val="baseline"/>
      </font>
      <alignment horizontal="center" vertical="center"/>
      <protection locked="0" hidden="0"/>
    </dxf>
    <dxf>
      <border>
        <bottom style="medium">
          <color indexed="64"/>
        </bottom>
      </border>
    </dxf>
    <dxf>
      <font>
        <name val="Corporate S BQ"/>
        <b val="1"/>
        <strike val="0"/>
        <outline val="0"/>
        <shadow val="0"/>
        <condense val="0"/>
        <color theme="0"/>
        <extend val="0"/>
        <sz val="12"/>
        <vertAlign val="baseline"/>
      </font>
      <fill>
        <patternFill patternType="solid">
          <fgColor indexed="64"/>
          <bgColor rgb="FFA39161"/>
        </patternFill>
      </fill>
      <alignment horizontal="center" vertical="center"/>
      <protection locked="1" hidden="0"/>
    </dxf>
    <dxf>
      <font>
        <name val="Corporate S BQ"/>
        <strike val="0"/>
        <outline val="0"/>
        <shadow val="0"/>
        <vertAlign val="baseline"/>
      </font>
      <alignment horizontal="center" vertical="center"/>
      <protection locked="0" hidden="0"/>
    </dxf>
    <dxf>
      <font>
        <name val="Corporate S BQ"/>
        <b val="1"/>
        <i val="1"/>
        <strike val="0"/>
        <outline val="0"/>
        <shadow val="0"/>
        <color rgb="FFA39161"/>
        <sz val="10"/>
        <vertAlign val="baseline"/>
      </font>
      <numFmt numFmtId="4" formatCode="#,##0.00"/>
      <alignment horizontal="center" vertical="center" wrapText="1"/>
      <protection locked="0" hidden="0"/>
    </dxf>
    <dxf>
      <font>
        <name val="Corporate S BQ"/>
        <strike val="0"/>
        <outline val="0"/>
        <shadow val="0"/>
        <vertAlign val="baseline"/>
      </font>
      <alignment horizontal="left" vertical="center" wrapText="1"/>
      <border>
        <left/>
        <right/>
        <top style="thin">
          <color auto="1"/>
        </top>
        <bottom/>
      </border>
      <protection locked="0" hidden="0"/>
    </dxf>
    <dxf>
      <border outline="0">
        <top style="thin">
          <color auto="1"/>
        </top>
      </border>
    </dxf>
    <dxf>
      <border>
        <left/>
        <right/>
        <top style="thin">
          <color auto="1"/>
        </top>
        <bottom style="thin">
          <color auto="1"/>
        </bottom>
      </border>
    </dxf>
    <dxf>
      <font>
        <name val="Corporate S BQ"/>
        <strike val="0"/>
        <outline val="0"/>
        <shadow val="0"/>
        <vertAlign val="baseline"/>
      </font>
      <alignment horizontal="center" vertical="center"/>
      <protection locked="0" hidden="0"/>
    </dxf>
    <dxf>
      <border>
        <bottom style="medium">
          <color indexed="64"/>
        </bottom>
      </border>
    </dxf>
    <dxf>
      <font>
        <name val="Corporate S BQ"/>
        <b val="1"/>
        <strike val="0"/>
        <outline val="0"/>
        <shadow val="0"/>
        <condense val="0"/>
        <color theme="0"/>
        <extend val="0"/>
        <sz val="12"/>
        <vertAlign val="baseline"/>
      </font>
      <fill>
        <patternFill patternType="solid">
          <fgColor indexed="64"/>
          <bgColor rgb="FFA39161"/>
        </patternFill>
      </fill>
      <alignment horizontal="center" vertical="center"/>
      <protection locked="1" hidden="0"/>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name val="Corporate S BQ"/>
        <strike val="0"/>
        <outline val="0"/>
        <shadow val="0"/>
        <condense val="0"/>
        <color auto="1"/>
        <extend val="0"/>
        <sz val="10"/>
        <vertAlign val="baseline"/>
      </font>
      <numFmt numFmtId="166" formatCode="_-* #,##0_-;\-* #,##0_-;_-* &quot;-&quot;??_-;_-@_-"/>
      <fill>
        <patternFill>
          <fgColor indexed="64"/>
          <bgColor indexed="65"/>
        </patternFill>
      </fill>
      <alignment horizontal="center" vertical="center"/>
      <protection locked="1" hidden="0"/>
    </dxf>
    <dxf>
      <font>
        <name val="Corporate S BQ"/>
        <strike val="0"/>
        <outline val="0"/>
        <shadow val="0"/>
        <condense val="0"/>
        <color auto="1"/>
        <extend val="0"/>
        <sz val="10"/>
        <vertAlign val="baseline"/>
      </font>
      <numFmt numFmtId="166" formatCode="_-* #,##0_-;\-* #,##0_-;_-* &quot;-&quot;??_-;_-@_-"/>
      <fill>
        <patternFill>
          <fgColor indexed="64"/>
          <bgColor indexed="65"/>
        </patternFill>
      </fill>
      <alignment horizontal="center" vertical="center"/>
      <protection locked="1" hidden="0"/>
    </dxf>
    <dxf>
      <font>
        <name val="Corporate S BQ"/>
        <b val="1"/>
        <strike val="0"/>
        <outline val="0"/>
        <shadow val="0"/>
        <color rgb="FFA39161"/>
        <sz val="10"/>
        <vertAlign val="baseline"/>
      </font>
      <numFmt numFmtId="166" formatCode="_-* #,##0_-;\-* #,##0_-;_-* &quot;-&quot;??_-;_-@_-"/>
      <fill>
        <patternFill>
          <fgColor indexed="64"/>
          <bgColor indexed="65"/>
        </patternFill>
      </fill>
      <alignment horizontal="center" vertical="center"/>
      <protection locked="0" hidden="0"/>
    </dxf>
    <dxf>
      <font>
        <name val="Corporate S BQ"/>
        <b val="1"/>
        <strike val="0"/>
        <outline val="0"/>
        <shadow val="0"/>
        <condense val="0"/>
        <color rgb="FFA39161"/>
        <extend val="0"/>
        <sz val="10"/>
        <vertAlign val="baseline"/>
      </font>
      <numFmt numFmtId="166" formatCode="_-* #,##0_-;\-* #,##0_-;_-* &quot;-&quot;??_-;_-@_-"/>
      <fill>
        <patternFill>
          <fgColor indexed="64"/>
          <bgColor indexed="65"/>
        </patternFill>
      </fill>
      <alignment horizontal="center" vertical="center"/>
      <protection locked="0" hidden="0"/>
    </dxf>
    <dxf>
      <font>
        <name val="Corporate S BQ"/>
        <b val="1"/>
        <strike val="0"/>
        <outline val="0"/>
        <shadow val="0"/>
        <condense val="0"/>
        <color rgb="FFA39161"/>
        <extend val="0"/>
        <sz val="10"/>
        <vertAlign val="baseline"/>
      </font>
      <numFmt numFmtId="166" formatCode="_-* #,##0_-;\-* #,##0_-;_-* &quot;-&quot;??_-;_-@_-"/>
      <fill>
        <patternFill>
          <fgColor indexed="64"/>
          <bgColor indexed="65"/>
        </patternFill>
      </fill>
      <alignment horizontal="center" vertical="center"/>
      <protection locked="0" hidden="0"/>
    </dxf>
    <dxf>
      <font>
        <name val="Corporate S BQ"/>
        <b val="1"/>
        <strike val="0"/>
        <outline val="0"/>
        <shadow val="0"/>
        <condense val="0"/>
        <color auto="1"/>
        <extend val="0"/>
        <sz val="10"/>
        <vertAlign val="baseline"/>
      </font>
      <fill>
        <patternFill>
          <fgColor indexed="64"/>
          <bgColor indexed="65"/>
        </patternFill>
      </fill>
      <alignment horizontal="center" vertical="center"/>
      <protection locked="0" hidden="0"/>
    </dxf>
    <dxf>
      <font>
        <name val="Corporate S BQ"/>
        <strike val="0"/>
        <outline val="0"/>
        <shadow val="0"/>
        <condense val="0"/>
        <color theme="1"/>
        <extend val="0"/>
        <sz val="10"/>
        <vertAlign val="baseline"/>
      </font>
      <numFmt numFmtId="166" formatCode="_-* #,##0_-;\-* #,##0_-;_-* &quot;-&quot;??_-;_-@_-"/>
      <fill>
        <patternFill>
          <fgColor indexed="64"/>
          <bgColor indexed="65"/>
        </patternFill>
      </fill>
      <alignment horizontal="center" vertical="center"/>
      <protection locked="0" hidden="0"/>
    </dxf>
    <dxf>
      <font>
        <name val="Corporate S BQ"/>
        <strike val="0"/>
        <outline val="0"/>
        <shadow val="0"/>
        <condense val="0"/>
        <color theme="1"/>
        <extend val="0"/>
        <sz val="10"/>
        <vertAlign val="baseline"/>
      </font>
      <fill>
        <patternFill>
          <fgColor indexed="64"/>
          <bgColor indexed="65"/>
        </patternFill>
      </fill>
      <protection locked="1" hidden="0"/>
    </dxf>
    <dxf>
      <border outline="0">
        <bottom style="medium">
          <color indexed="64"/>
        </bottom>
      </border>
    </dxf>
    <dxf>
      <font>
        <name val="Corporate S BQ"/>
        <b val="1"/>
        <strike val="0"/>
        <outline val="0"/>
        <shadow val="0"/>
        <condense val="0"/>
        <color theme="0"/>
        <extend val="0"/>
        <sz val="12"/>
        <vertAlign val="baseline"/>
      </font>
      <fill>
        <patternFill patternType="solid">
          <fgColor indexed="64"/>
          <bgColor rgb="FFA39161"/>
        </patternFill>
      </fill>
      <alignment horizontal="center" vertical="center"/>
      <protection locked="1" hidden="0"/>
    </dxf>
    <dxf>
      <font>
        <b val="1"/>
        <color theme="0"/>
      </font>
      <fill>
        <patternFill>
          <bgColor rgb="FFA39161"/>
        </patternFill>
      </fill>
      <border>
        <bottom style="thick">
          <color auto="1"/>
        </bottom>
      </border>
    </dxf>
    <dxf>
      <border>
        <left/>
        <right/>
        <top style="thin">
          <color auto="1"/>
        </top>
        <bottom style="thin">
          <color auto="1"/>
        </bottom>
        <horizontal style="thin">
          <color auto="1"/>
        </horizontal>
      </border>
    </dxf>
  </dxfs>
  <tableStyles count="1" defaultTableStyle="Table Style 1" defaultPivotStyle="PivotStyleLight16">
    <tableStyle name="Table Style 1" pivot="0" count="2">
      <tableStyleElement type="wholeTable" dxfId="56"/>
      <tableStyleElement type="headerRow" dxfId="55"/>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3</col>
      <colOff>2836248</colOff>
      <row>0</row>
      <rowOff>154782</rowOff>
    </from>
    <to>
      <col>3</col>
      <colOff>4603546</colOff>
      <row>4</row>
      <rowOff>125155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4504373" y="154782"/>
          <a:ext cx="1767298" cy="1637248"/>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Inclusions" displayName="Inclusions" ref="A5:C38" headerRowCount="1" totalsRowShown="0" headerRowDxfId="30" dataDxfId="28" headerRowBorderDxfId="29" tableBorderDxfId="27" totalsRowBorderDxfId="26">
  <autoFilter ref="A5:C38"/>
  <tableColumns count="3">
    <tableColumn id="1" name="Included" dataDxfId="25"/>
    <tableColumn id="5" name="Amount" dataDxfId="24"/>
    <tableColumn id="4" name="Details" dataDxfId="23"/>
  </tableColumns>
  <tableStyleInfo name="Table Style 1" showFirstColumn="0" showLastColumn="0" showRowStripes="1" showColumnStripes="0"/>
</table>
</file>

<file path=xl/tables/table2.xml><?xml version="1.0" encoding="utf-8"?>
<table xmlns="http://schemas.openxmlformats.org/spreadsheetml/2006/main" id="2" name="Exclusions" displayName="Exclusions" ref="A5:C42" headerRowCount="1" totalsRowShown="0" headerRowDxfId="22" dataDxfId="20" headerRowBorderDxfId="21" tableBorderDxfId="19" totalsRowBorderDxfId="18">
  <autoFilter ref="A5:C42"/>
  <tableColumns count="3">
    <tableColumn id="1" name="Excluded" dataDxfId="17"/>
    <tableColumn id="5" name="Amount" dataDxfId="16"/>
    <tableColumn id="4" name="Details" dataDxfId="15"/>
  </tableColumns>
  <tableStyleInfo name="Table Style 1" showFirstColumn="0" showLastColumn="0" showRowStripes="1" showColumnStripes="0"/>
</table>
</file>

<file path=xl/tables/table3.xml><?xml version="1.0" encoding="utf-8"?>
<table xmlns="http://schemas.openxmlformats.org/spreadsheetml/2006/main" id="3" name="EncLoaded" displayName="EncLoaded" ref="A6:G111" headerRowCount="1" totalsRowShown="0" headerRowDxfId="54" dataDxfId="52" headerRowBorderDxfId="53">
  <autoFilter ref="A6:G111"/>
  <tableColumns count="7">
    <tableColumn id="3" name="MF Number &amp; Facility Name" dataDxfId="51" dataCellStyle="Comma"/>
    <tableColumn id="1" name="Encounter Type" dataDxfId="50"/>
    <tableColumn id="9" name="Volumes" dataDxfId="49" dataCellStyle="Comma"/>
    <tableColumn id="2" name="Direct Cost" dataDxfId="48" dataCellStyle="Comma"/>
    <tableColumn id="8" name="Overhead Cost" dataDxfId="47" dataCellStyle="Comma"/>
    <tableColumn id="4" name="Total Cost" dataDxfId="46" dataCellStyle="Comma">
      <calculatedColumnFormula>SUM(EncLoaded[[#This Row],[Direct Cost]:[Overhead Cost]])</calculatedColumnFormula>
    </tableColumn>
    <tableColumn id="5" name="Average Total Cost" dataDxfId="45" dataCellStyle="Comma">
      <calculatedColumnFormula>EncLoaded[[#This Row],[Total Cost]]/EncLoaded[[#This Row],[Volumes]]</calculatedColumnFormula>
    </tableColumn>
  </tableColumns>
  <tableStyleInfo name="Table Style 1" showFirstColumn="0" showLastColumn="0" showRowStripes="1" showColumnStripes="0"/>
</table>
</file>

<file path=xl/tables/table4.xml><?xml version="1.0" encoding="utf-8"?>
<table xmlns="http://schemas.openxmlformats.org/spreadsheetml/2006/main" id="4" name="DataValidations" displayName="DataValidations" ref="A12:L35" headerRowCount="1" totalsRowShown="0" headerRowDxfId="14" dataDxfId="13" tableBorderDxfId="12">
  <autoFilter ref="A12:L35"/>
  <tableColumns count="12">
    <tableColumn id="1" name="Patient Type" dataDxfId="11"/>
    <tableColumn id="2" name="Encounter Type " dataDxfId="10"/>
    <tableColumn id="3" name="Description" dataDxfId="9"/>
    <tableColumn id="4" name="Validations" dataDxfId="8"/>
    <tableColumn id="5" name="Tolerance" dataDxfId="7"/>
    <tableColumn id="6" name="Non-Compliance" dataDxfId="6"/>
    <tableColumn id="7" name="Validated" dataDxfId="5"/>
    <tableColumn id="8" name="Does Not Apply" dataDxfId="4"/>
    <tableColumn id="9" name="No Issues Detected" dataDxfId="3"/>
    <tableColumn id="10" name="With Issues" dataDxfId="2"/>
    <tableColumn id="11" name="Issues Resolved" dataDxfId="1"/>
    <tableColumn id="12" name="Comments" dataDxfId="0"/>
  </tableColumns>
  <tableStyleInfo name="Table Style 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codeName="Sheet1">
    <tabColor rgb="FFAC7F00"/>
    <outlinePr summaryBelow="1" summaryRight="1"/>
    <pageSetUpPr/>
  </sheetPr>
  <dimension ref="B1:F49"/>
  <sheetViews>
    <sheetView showGridLines="0" topLeftCell="A24" zoomScale="74" zoomScaleNormal="85" workbookViewId="0">
      <selection activeCell="I31" sqref="I31"/>
    </sheetView>
  </sheetViews>
  <sheetFormatPr baseColWidth="8" defaultRowHeight="32.45" customHeight="1"/>
  <cols>
    <col width="0.7109375" customWidth="1" min="1" max="1"/>
    <col width="39.7109375" customWidth="1" min="2" max="2"/>
    <col width="134.5703125" customWidth="1" min="3" max="3"/>
    <col width="69.140625" customWidth="1" min="4" max="4"/>
    <col width="42.7109375" customWidth="1" min="5" max="5"/>
  </cols>
  <sheetData>
    <row r="1" ht="35.65" customHeight="1">
      <c r="B1" s="134" t="inlineStr">
        <is>
          <t>Abu Dhabi Clinical Cost Data Collection (ADCCDC)</t>
        </is>
      </c>
    </row>
    <row r="2" ht="32.45" customHeight="1"/>
    <row r="3" ht="32.45" customHeight="1"/>
    <row r="4" ht="32.45" customHeight="1"/>
    <row r="6" ht="32.45" customHeight="1">
      <c r="B6" s="76" t="inlineStr">
        <is>
          <t>General Instructions</t>
        </is>
      </c>
    </row>
    <row r="7" ht="32.45" customHeight="1">
      <c r="B7" s="77" t="inlineStr">
        <is>
          <t>The Reconciliation Report is an integral part of Abu Dhabi Clinical Cost Data Collection and must be submitted to DOH, by email,</t>
        </is>
      </c>
      <c r="C7" s="77" t="n"/>
      <c r="D7" s="78" t="n"/>
    </row>
    <row r="8" ht="32.45" customHeight="1">
      <c r="B8" s="77" t="inlineStr">
        <is>
          <t>once cost data submission is completed in Shafafiya successfully for the Submission Year 02 (2025)</t>
        </is>
      </c>
      <c r="C8" s="77" t="n"/>
      <c r="D8" s="78" t="n"/>
    </row>
    <row r="9" ht="17.45" customHeight="1">
      <c r="B9" s="77" t="n"/>
      <c r="C9" s="77" t="n"/>
      <c r="D9" s="78" t="n"/>
    </row>
    <row r="10" ht="32.45" customHeight="1">
      <c r="B10" s="79" t="inlineStr">
        <is>
          <t>Facility level:</t>
        </is>
      </c>
      <c r="C10" s="77" t="n"/>
      <c r="D10" s="78" t="n"/>
    </row>
    <row r="11" ht="32.45" customHeight="1">
      <c r="B11" s="77" t="n"/>
      <c r="C11" s="77" t="inlineStr">
        <is>
          <t xml:space="preserve">The template name should be SY2 Annexure Costing Submission Reconciliation Report V1.0A MFXXXX </t>
        </is>
      </c>
      <c r="D11" s="78" t="n"/>
    </row>
    <row r="12" ht="32.45" customHeight="1">
      <c r="B12" s="77" t="n"/>
      <c r="C12" s="77" t="inlineStr">
        <is>
          <t xml:space="preserve">The subject of the email should be SY2 Annexure Costing Submission Reconciliation Report V1.0A MFXXXX </t>
        </is>
      </c>
      <c r="D12" s="78" t="n"/>
    </row>
    <row r="13" ht="32.45" customHeight="1">
      <c r="B13" s="79" t="inlineStr">
        <is>
          <t>Group level:</t>
        </is>
      </c>
      <c r="C13" s="77" t="n"/>
      <c r="D13" s="78" t="n"/>
    </row>
    <row r="14" ht="32.45" customHeight="1">
      <c r="B14" s="77" t="n"/>
      <c r="C14" s="77" t="inlineStr">
        <is>
          <t xml:space="preserve">The templae name should be SY2 Annexure Costing Submission Reconciliation Report V1.0A (Group Name) </t>
        </is>
      </c>
      <c r="D14" s="78" t="n"/>
    </row>
    <row r="15" ht="32.45" customHeight="1">
      <c r="B15" s="77" t="n"/>
      <c r="C15" s="77" t="inlineStr">
        <is>
          <t xml:space="preserve">The subject of the email should be SY2 Annexure Costing Submission Reconciliation Report V1.0A (Group Name) </t>
        </is>
      </c>
      <c r="D15" s="78" t="n"/>
    </row>
    <row r="16" ht="32.45" customHeight="1">
      <c r="B16" s="77" t="n"/>
      <c r="C16" s="80" t="inlineStr">
        <is>
          <t xml:space="preserve">(please copy the group name from cell B26 of Sign-Off tab. Don’t enter your own value as system will not be able to read these) </t>
        </is>
      </c>
      <c r="D16" s="78" t="n"/>
    </row>
    <row r="17" ht="12" customHeight="1">
      <c r="B17" s="77" t="n"/>
      <c r="C17" s="77" t="n"/>
      <c r="D17" s="78" t="n"/>
    </row>
    <row r="18" ht="32.45" customHeight="1">
      <c r="B18" s="77" t="inlineStr">
        <is>
          <t>Incomplete or faulty Reconciliation Report will not be accepted and this will be considered as non-compliance of the Standards</t>
        </is>
      </c>
      <c r="C18" s="77" t="n"/>
      <c r="D18" s="78" t="n"/>
    </row>
    <row r="19" ht="21.75" customHeight="1">
      <c r="B19" s="78" t="n"/>
      <c r="C19" s="78" t="n"/>
      <c r="D19" s="78" t="n"/>
    </row>
    <row r="20" ht="32.45" customHeight="1">
      <c r="B20" s="78" t="inlineStr">
        <is>
          <t>To make it easier for the providers, we have created check for sign off page only so to ensure that providers fill all the mandatory cells before submission:</t>
        </is>
      </c>
      <c r="C20" s="78" t="n"/>
      <c r="D20" s="78" t="n"/>
    </row>
    <row r="21" ht="32.45" customHeight="1">
      <c r="B21" s="78" t="n"/>
      <c r="C21" s="78" t="n"/>
      <c r="D21" s="78" t="n"/>
    </row>
    <row r="22" ht="32.45" customHeight="1">
      <c r="B22" s="81" t="inlineStr">
        <is>
          <t>Table Name</t>
        </is>
      </c>
      <c r="C22" s="81" t="inlineStr">
        <is>
          <t>Title</t>
        </is>
      </c>
      <c r="D22" s="81" t="inlineStr">
        <is>
          <t>Check</t>
        </is>
      </c>
    </row>
    <row r="23" ht="32.45" customHeight="1">
      <c r="B23" s="82" t="inlineStr">
        <is>
          <t>Sign-Off</t>
        </is>
      </c>
      <c r="C23" s="82" t="inlineStr">
        <is>
          <t>Submission Year</t>
        </is>
      </c>
      <c r="D23" s="83">
        <f>IF(ISNUMBER(FIND("Select",'Sign-Off'!B7)),"WARNING! Submission Year not Selected! Do not Submit to DoH until Revised","Correct")</f>
        <v/>
      </c>
    </row>
    <row r="24" ht="50.25" customHeight="1">
      <c r="B24" s="82" t="inlineStr">
        <is>
          <t>Sign-Off</t>
        </is>
      </c>
      <c r="C24" s="82" t="inlineStr">
        <is>
          <t>Accounting Method</t>
        </is>
      </c>
      <c r="D24" s="83">
        <f>IF(ISNUMBER(FIND("Select",'Sign-Off'!B8)),"WARNING! Accounting Method not Selected! Do not Submit to DoH until Revised","Correct")</f>
        <v/>
      </c>
    </row>
    <row r="25" ht="42.75" customHeight="1">
      <c r="B25" s="82" t="inlineStr">
        <is>
          <t>Sign-Off</t>
        </is>
      </c>
      <c r="C25" s="82" t="inlineStr">
        <is>
          <t>Overhead Method</t>
        </is>
      </c>
      <c r="D25" s="83">
        <f>IF(ISNUMBER(FIND("Select",'Sign-Off'!B9)),"WARNING! Overhead Method not Selected! Do not Submit to DoH until Revised","Correct")</f>
        <v/>
      </c>
    </row>
    <row r="26" ht="42.75" customHeight="1">
      <c r="B26" s="82" t="inlineStr">
        <is>
          <t>Sign-Off</t>
        </is>
      </c>
      <c r="C26" s="82" t="inlineStr">
        <is>
          <t>Costing Method</t>
        </is>
      </c>
      <c r="D26" s="83">
        <f>IF(ISNUMBER(FIND("Select",'Sign-Off'!B10)),"WARNING! Costing Method not Selected! Do not Submit to DoH until Revised","Correct")</f>
        <v/>
      </c>
    </row>
    <row r="27" ht="42.75" customHeight="1">
      <c r="B27" s="82" t="inlineStr">
        <is>
          <t>Sign-Off</t>
        </is>
      </c>
      <c r="C27" s="82" t="inlineStr">
        <is>
          <t>Auditing Status</t>
        </is>
      </c>
      <c r="D27" s="83">
        <f>IF(ISNUMBER(FIND("Select",'Sign-Off'!B11)),"WARNING! Auditing Status not Selected! Do not Submit to DoH until Revised","Correct")</f>
        <v/>
      </c>
    </row>
    <row r="28" ht="42.75" customHeight="1">
      <c r="B28" s="82" t="inlineStr">
        <is>
          <t>Sign-Off</t>
        </is>
      </c>
      <c r="C28" s="82" t="inlineStr">
        <is>
          <t>Costing Software</t>
        </is>
      </c>
      <c r="D28" s="83">
        <f>IF(ISNUMBER(FIND("Select",'Sign-Off'!B12)),"WARNING! Costing Software Option not Selected! Do not Submit to DoH until Revised","Correct")</f>
        <v/>
      </c>
    </row>
    <row r="29" ht="42.75" customHeight="1">
      <c r="B29" s="82" t="inlineStr">
        <is>
          <t>Sign-Off</t>
        </is>
      </c>
      <c r="C29" s="82" t="inlineStr">
        <is>
          <t>Costing Software Name</t>
        </is>
      </c>
      <c r="D29" s="83">
        <f>IF(AND('Sign-Off'!B12="Yes",ISBLANK('Sign-Off'!B13)),"WARNING! Costing Software Option not Selected! Do not Submit to DoH until Revised",IF('Sign-Off'!B12&lt;&gt;"Yes","Ignore","Correct"))</f>
        <v/>
      </c>
    </row>
    <row r="30" ht="42.75" customHeight="1">
      <c r="B30" s="82" t="inlineStr">
        <is>
          <t>Sign-Off</t>
        </is>
      </c>
      <c r="C30" s="82" t="inlineStr">
        <is>
          <t>Reconciliation Level</t>
        </is>
      </c>
      <c r="D30" s="83">
        <f>IF(ISNUMBER(FIND("Select",'Sign-Off'!B14)),"WARNING! Reconciliation Level Option not Selected! Do not Submit to DoH until Revised","Correct")</f>
        <v/>
      </c>
    </row>
    <row r="31" ht="42.75" customHeight="1">
      <c r="B31" s="82" t="inlineStr">
        <is>
          <t>Sign-Off</t>
        </is>
      </c>
      <c r="C31" s="82" t="inlineStr">
        <is>
          <t>Group</t>
        </is>
      </c>
      <c r="D31" s="83">
        <f>IF(LOWER('Sign-Off'!B14)="group level",
    IF(ISNUMBER(SEARCH("select",'Sign-Off'!B26)),
        "WARNING! Reconciliation Level Option not Selected! Do not Submit to DoH until Revised",
        "Correct"
    ),
    "Ignore"
)</f>
        <v/>
      </c>
      <c r="F31" s="84" t="n"/>
    </row>
    <row r="32" ht="42.75" customHeight="1">
      <c r="B32" s="82" t="inlineStr">
        <is>
          <t>Sign-Off</t>
        </is>
      </c>
      <c r="C32" s="82" t="inlineStr">
        <is>
          <t>MF + Facility Name</t>
        </is>
      </c>
      <c r="D32" s="83">
        <f>IF(LOWER('Sign-Off'!B14)="facility level",
    IF(ISNUMBER(SEARCH("select",'Sign-Off'!B27)),
        "WARNING! Reconciliation Level Option not Selected! Do not Submit to DoH until Revised",
        "Correct"
    ),
    "Ignore"
)</f>
        <v/>
      </c>
      <c r="F32" s="84" t="n"/>
    </row>
    <row r="33" ht="42.75" customHeight="1">
      <c r="B33" s="82" t="inlineStr">
        <is>
          <t>Sign-Off</t>
        </is>
      </c>
      <c r="C33" s="82" t="inlineStr">
        <is>
          <t>Signed</t>
        </is>
      </c>
      <c r="D33" s="83">
        <f>IF(ISBLANK('Sign-Off'!B29), "WARNING! Reconciliation Level Option not Selected! Do not Submit to DoH until Revised", "Correct")</f>
        <v/>
      </c>
    </row>
    <row r="34" ht="42.75" customHeight="1">
      <c r="B34" s="82" t="inlineStr">
        <is>
          <t>Sign-Off</t>
        </is>
      </c>
      <c r="C34" s="82" t="inlineStr">
        <is>
          <t>Position</t>
        </is>
      </c>
      <c r="D34" s="83">
        <f>IF(ISNUMBER(FIND("Select",'Sign-Off'!B30)),"WARNING! Overhead Method not Selected! Do not Submit to DoH until Revised","Correct")</f>
        <v/>
      </c>
    </row>
    <row r="36" ht="32.45" customHeight="1">
      <c r="B36" s="78" t="inlineStr">
        <is>
          <t>Please see general instructions for all other tabs of the Reconciliation Report</t>
        </is>
      </c>
    </row>
    <row r="37" ht="13.5" customHeight="1"/>
    <row r="38" ht="32.45" customHeight="1">
      <c r="B38" s="81" t="inlineStr">
        <is>
          <t>Table Name</t>
        </is>
      </c>
      <c r="C38" s="81" t="inlineStr">
        <is>
          <t>Purpose</t>
        </is>
      </c>
      <c r="D38" s="81" t="inlineStr">
        <is>
          <t>Status</t>
        </is>
      </c>
    </row>
    <row r="39" ht="51" customHeight="1">
      <c r="B39" s="82" t="inlineStr">
        <is>
          <t>Reconciliation - Main</t>
        </is>
      </c>
      <c r="C39" s="85" t="inlineStr">
        <is>
          <t>To capture the summary of all the relevant expenses</t>
        </is>
      </c>
      <c r="D39" s="86" t="inlineStr">
        <is>
          <t>Mandatory to fill the designated cells by all providers</t>
        </is>
      </c>
    </row>
    <row r="40" ht="51" customHeight="1">
      <c r="B40" s="82" t="inlineStr">
        <is>
          <t>Inclusions - GL</t>
        </is>
      </c>
      <c r="C40" s="85" t="inlineStr">
        <is>
          <t>These are expenses which are not recorded in GL and need to be inlcuded</t>
        </is>
      </c>
      <c r="D40" s="85" t="inlineStr">
        <is>
          <t>Mandatory to fill for the providers having these type of expenses</t>
        </is>
      </c>
    </row>
    <row r="41" ht="51" customHeight="1">
      <c r="B41" s="82" t="inlineStr">
        <is>
          <t>Exclusions - GL</t>
        </is>
      </c>
      <c r="C41" s="85" t="inlineStr">
        <is>
          <t>These are expenses which are recorded in GL but need to be excluded from costing as they are not applicable</t>
        </is>
      </c>
      <c r="D41" s="85" t="inlineStr">
        <is>
          <t>Mandatory to fill for the providers having these type of expenses</t>
        </is>
      </c>
    </row>
    <row r="42" ht="51" customHeight="1">
      <c r="B42" s="82" t="inlineStr">
        <is>
          <t>EncountersData</t>
        </is>
      </c>
      <c r="C42" s="85" t="inlineStr">
        <is>
          <t>To capture the Shafafiya submission by facility by patient type by volume with direct and overhead cost breakdown</t>
        </is>
      </c>
      <c r="D42" s="86" t="inlineStr">
        <is>
          <t>Mandatory for All providers to fill this table</t>
        </is>
      </c>
    </row>
    <row r="43" ht="51" customHeight="1">
      <c r="B43" s="82" t="inlineStr">
        <is>
          <t>WIP</t>
        </is>
      </c>
      <c r="C43" s="85" t="inlineStr">
        <is>
          <t>To educate the providers on how to report WIP based on their category</t>
        </is>
      </c>
      <c r="D43" s="85" t="inlineStr">
        <is>
          <t>Education for WIP Submission</t>
        </is>
      </c>
    </row>
    <row r="44" ht="51" customHeight="1">
      <c r="B44" s="82" t="inlineStr">
        <is>
          <t>DataValidations</t>
        </is>
      </c>
      <c r="C44" s="85" t="inlineStr">
        <is>
          <t>To provide with list of validations to providers to run these internally before submitting the cost data to ensure accuracy of the submission</t>
        </is>
      </c>
      <c r="D44" s="86" t="inlineStr">
        <is>
          <t>Mandatory for All providers to fill this table</t>
        </is>
      </c>
    </row>
    <row r="45" ht="32.45" customHeight="1">
      <c r="B45" s="78" t="n"/>
      <c r="C45" s="87" t="n"/>
      <c r="D45" s="84" t="n"/>
    </row>
    <row r="46" ht="32.45" customHeight="1">
      <c r="B46" s="78" t="n"/>
      <c r="C46" s="87" t="n"/>
      <c r="D46" s="84" t="n"/>
    </row>
    <row r="47" ht="32.45" customHeight="1">
      <c r="B47" s="78" t="n"/>
      <c r="C47" s="87" t="n"/>
      <c r="D47" s="84" t="n"/>
    </row>
    <row r="48" ht="32.45" customHeight="1">
      <c r="B48" s="78" t="n"/>
      <c r="C48" s="87" t="n"/>
      <c r="D48" s="84" t="n"/>
    </row>
    <row r="49" ht="32.45" customHeight="1">
      <c r="B49" s="78" t="n"/>
      <c r="C49" s="78" t="n"/>
      <c r="D49" s="84" t="n"/>
    </row>
  </sheetData>
  <sheetProtection selectLockedCells="1" selectUnlockedCells="0" algorithmName="SHA-512" sheet="1" objects="1" insertRows="1" insertHyperlinks="1" autoFilter="1" scenarios="1" formatColumns="1" deleteColumns="1" insertColumns="1" pivotTables="1" deleteRows="1" formatCells="1" saltValue="mGjRN/fycKbdzmSfygoS7g==" formatRows="1" sort="1" spinCount="100000" hashValue="ge/Gcp4KU2s4yt9ccxmWxzSchFtwUVDqg12TIHj0As8iK61lODRHQfw7pRR6RYRkqCA6MO0ywT+YS2tDJUZ52w=="/>
  <mergeCells count="1">
    <mergeCell ref="B1:C4"/>
  </mergeCells>
  <conditionalFormatting sqref="D23:D30 D32:D34 E35:E38">
    <cfRule type="containsText" priority="13" operator="containsText" dxfId="33" text="warning">
      <formula>NOT(ISERROR(SEARCH("warning",D23)))</formula>
    </cfRule>
    <cfRule type="cellIs" priority="14" operator="equal" dxfId="32">
      <formula>"correct"</formula>
    </cfRule>
  </conditionalFormatting>
  <conditionalFormatting sqref="F31">
    <cfRule type="containsText" priority="11" operator="containsText" dxfId="33" text="warning">
      <formula>NOT(ISERROR(SEARCH("warning",F31)))</formula>
    </cfRule>
    <cfRule type="cellIs" priority="12" operator="equal" dxfId="32">
      <formula>"correct"</formula>
    </cfRule>
  </conditionalFormatting>
  <conditionalFormatting sqref="F32">
    <cfRule type="containsText" priority="9" operator="containsText" dxfId="33" text="warning">
      <formula>NOT(ISERROR(SEARCH("warning",F32)))</formula>
    </cfRule>
    <cfRule type="cellIs" priority="10" operator="equal" dxfId="32">
      <formula>"correct"</formula>
    </cfRule>
  </conditionalFormatting>
  <conditionalFormatting sqref="D31">
    <cfRule type="containsText" priority="7" operator="containsText" dxfId="33" text="warning">
      <formula>NOT(ISERROR(SEARCH("warning",D31)))</formula>
    </cfRule>
    <cfRule type="cellIs" priority="8" operator="equal" dxfId="32">
      <formula>"correct"</formula>
    </cfRule>
  </conditionalFormatting>
  <conditionalFormatting sqref="D23:D34">
    <cfRule type="containsText" priority="6" operator="containsText" dxfId="31" text="Ignore">
      <formula>NOT(ISERROR(SEARCH("Ignore",D23)))</formula>
    </cfRule>
  </conditionalFormatting>
  <conditionalFormatting sqref="D45 D47:D49">
    <cfRule type="containsText" priority="4" operator="containsText" dxfId="33" text="warning">
      <formula>NOT(ISERROR(SEARCH("warning",D45)))</formula>
    </cfRule>
    <cfRule type="cellIs" priority="5" operator="equal" dxfId="32">
      <formula>"correct"</formula>
    </cfRule>
  </conditionalFormatting>
  <conditionalFormatting sqref="D46">
    <cfRule type="containsText" priority="2" operator="containsText" dxfId="33" text="warning">
      <formula>NOT(ISERROR(SEARCH("warning",D46)))</formula>
    </cfRule>
    <cfRule type="cellIs" priority="3" operator="equal" dxfId="32">
      <formula>"correct"</formula>
    </cfRule>
  </conditionalFormatting>
  <conditionalFormatting sqref="D45:D49">
    <cfRule type="containsText" priority="1" operator="containsText" dxfId="31" text="Ignore">
      <formula>NOT(ISERROR(SEARCH("Ignore",D45)))</formula>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codeName="Sheet2">
    <tabColor rgb="FFAC7F00"/>
    <outlinePr summaryBelow="1" summaryRight="1"/>
    <pageSetUpPr/>
  </sheetPr>
  <dimension ref="A1:J39"/>
  <sheetViews>
    <sheetView showGridLines="0" zoomScale="85" zoomScaleNormal="85" workbookViewId="0">
      <selection activeCell="B13" sqref="B13"/>
    </sheetView>
  </sheetViews>
  <sheetFormatPr baseColWidth="8" defaultRowHeight="15"/>
  <cols>
    <col width="25.42578125" customWidth="1" min="1" max="1"/>
    <col width="27.28515625" customWidth="1" min="2" max="2"/>
    <col width="23" customWidth="1" min="3" max="3"/>
    <col width="21.7109375" customWidth="1" min="4" max="4"/>
    <col width="45.5703125" customWidth="1" min="5" max="5"/>
  </cols>
  <sheetData>
    <row r="1" ht="27.75" customHeight="1">
      <c r="A1" s="135" t="e">
        <v>#VALUE!</v>
      </c>
      <c r="B1" s="136" t="inlineStr">
        <is>
          <t>Abu Dhabi Clinical Cost Data Collection (ADCCDC)</t>
        </is>
      </c>
    </row>
    <row r="2"/>
    <row r="3" ht="24" customFormat="1" customHeight="1" s="89">
      <c r="B3" s="88" t="inlineStr">
        <is>
          <t>Sign off by the Competent Authority with Facility / Group</t>
        </is>
      </c>
      <c r="E3" s="90" t="n"/>
    </row>
    <row r="4" ht="19.15" customFormat="1" customHeight="1" s="92">
      <c r="B4" s="91" t="inlineStr">
        <is>
          <t>The reconciliation report (email) accompanying the cost data (Shafafiya) is encouraged to be submitted at the same date.</t>
        </is>
      </c>
    </row>
    <row r="5" ht="13.5" customFormat="1" customHeight="1" s="92">
      <c r="B5" s="91" t="inlineStr">
        <is>
          <t>The submission period will be from 1st to 31st August 2026.</t>
        </is>
      </c>
    </row>
    <row r="6" customFormat="1" s="92">
      <c r="D6" s="45" t="n"/>
      <c r="E6" s="93" t="n"/>
    </row>
    <row r="7" ht="18" customFormat="1" customHeight="1" s="92">
      <c r="A7" s="45" t="inlineStr">
        <is>
          <t xml:space="preserve">Submission Year : </t>
        </is>
      </c>
      <c r="B7" s="12" t="inlineStr">
        <is>
          <t>SY-02-2025</t>
        </is>
      </c>
      <c r="C7" s="94" t="n"/>
      <c r="D7" s="46">
        <f>VLOOKUP(B7,References!B3:C7,2,FALSE)</f>
        <v/>
      </c>
      <c r="E7" s="93" t="n"/>
    </row>
    <row r="8" ht="18" customFormat="1" customHeight="1" s="92">
      <c r="A8" s="45" t="inlineStr">
        <is>
          <t>Accounting Method:</t>
        </is>
      </c>
      <c r="B8" s="12" t="inlineStr">
        <is>
          <t>Accrual Accounting</t>
        </is>
      </c>
      <c r="C8" s="46" t="n"/>
      <c r="D8" s="46">
        <f>VLOOKUP(B8,References!B9:C12,2,FALSE)</f>
        <v/>
      </c>
      <c r="E8" s="93" t="n"/>
    </row>
    <row r="9" ht="18" customFormat="1" customHeight="1" s="92">
      <c r="A9" s="45" t="inlineStr">
        <is>
          <t>Overhead Method:</t>
        </is>
      </c>
      <c r="B9" s="12" t="inlineStr">
        <is>
          <t>Step-Down Method</t>
        </is>
      </c>
      <c r="C9" s="46" t="n"/>
      <c r="D9" s="46">
        <f>VLOOKUP(B9,References!B15:C17,2,FALSE)</f>
        <v/>
      </c>
      <c r="E9" s="93" t="n"/>
    </row>
    <row r="10" ht="18" customFormat="1" customHeight="1" s="92">
      <c r="A10" s="45" t="inlineStr">
        <is>
          <t>Costing Method:</t>
        </is>
      </c>
      <c r="B10" s="12" t="inlineStr">
        <is>
          <t>Hybrid Costing (ABC and Top-Down)</t>
        </is>
      </c>
      <c r="C10" s="46" t="n"/>
      <c r="D10" s="46">
        <f>VLOOKUP(B10,References!B20:C23,2,FALSE)</f>
        <v/>
      </c>
      <c r="E10" s="93" t="n"/>
    </row>
    <row r="11" ht="18" customFormat="1" customHeight="1" s="92">
      <c r="A11" s="45" t="inlineStr">
        <is>
          <t>Auditing Status</t>
        </is>
      </c>
      <c r="B11" s="12" t="inlineStr">
        <is>
          <t>External Audit Completed</t>
        </is>
      </c>
      <c r="C11" s="46" t="n"/>
      <c r="D11" s="46">
        <f>VLOOKUP(B11,References!B26:C28,2,FALSE)</f>
        <v/>
      </c>
      <c r="E11" s="93" t="n"/>
    </row>
    <row r="12" ht="18" customFormat="1" customHeight="1" s="92">
      <c r="A12" s="45" t="inlineStr">
        <is>
          <t>Costing Software</t>
        </is>
      </c>
      <c r="B12" s="12" t="inlineStr">
        <is>
          <t>Yes</t>
        </is>
      </c>
      <c r="C12" s="46" t="n"/>
      <c r="D12" s="46">
        <f>VLOOKUP(B12,References!B31:C33,2,FALSE)</f>
        <v/>
      </c>
      <c r="E12" s="93" t="n"/>
    </row>
    <row r="13" ht="18" customFormat="1" customHeight="1" s="92">
      <c r="A13" s="45" t="inlineStr">
        <is>
          <t>Costing Vendor Name</t>
        </is>
      </c>
      <c r="B13" s="13" t="inlineStr">
        <is>
          <t>Mysmyle Clinical Costing Module</t>
        </is>
      </c>
      <c r="C13" s="95" t="n"/>
      <c r="D13" s="95" t="inlineStr">
        <is>
          <t>Enter manually</t>
        </is>
      </c>
      <c r="E13" s="93" t="n"/>
    </row>
    <row r="14" ht="18" customFormat="1" customHeight="1" s="92">
      <c r="A14" s="45" t="inlineStr">
        <is>
          <t>Reconciliation Level</t>
        </is>
      </c>
      <c r="B14" s="12" t="inlineStr">
        <is>
          <t>Facility Level</t>
        </is>
      </c>
      <c r="C14" s="46" t="n"/>
      <c r="D14" s="46">
        <f>VLOOKUP(B14,References!B37:C39,2,FALSE)</f>
        <v/>
      </c>
      <c r="E14" s="93" t="n"/>
    </row>
    <row r="15" customFormat="1" s="92">
      <c r="D15" s="45" t="n"/>
      <c r="E15" s="93" t="n"/>
    </row>
    <row r="16" ht="23.25" customFormat="1" customHeight="1" s="92">
      <c r="A16" s="96" t="inlineStr">
        <is>
          <t>Directors' Attestation</t>
        </is>
      </c>
      <c r="C16" s="46" t="n"/>
      <c r="D16" s="46" t="n"/>
      <c r="E16" s="46" t="n"/>
    </row>
    <row r="17" ht="14.25" customFormat="1" customHeight="1" s="92">
      <c r="A17" s="97" t="inlineStr">
        <is>
          <t>To the best of my knowledge, the clinical costing data reconciliation report for the Abu Dhabi Clinical Cost Data Collection for the mentioned below health facility:</t>
        </is>
      </c>
      <c r="C17" s="46" t="n"/>
      <c r="D17" s="46" t="n"/>
      <c r="E17" s="46" t="n"/>
    </row>
    <row r="18" ht="15.75" customFormat="1" customHeight="1" s="92">
      <c r="A18" s="98" t="n">
        <v>1</v>
      </c>
      <c r="B18" s="99" t="inlineStr">
        <is>
          <t xml:space="preserve">Complies with the Abu Dhabi Clinical Costing Standards and Abu Dhabi Clinical Costing Guidelines V2.0; </t>
        </is>
      </c>
      <c r="C18" s="46" t="n"/>
      <c r="D18" s="46" t="n"/>
      <c r="E18" s="46" t="n"/>
    </row>
    <row r="19" ht="15.75" customFormat="1" customHeight="1" s="92">
      <c r="A19" s="98" t="n">
        <v>2</v>
      </c>
      <c r="B19" s="99" t="inlineStr">
        <is>
          <t>Complies with the Abu Dhabi Clinical Cost Data Collection reporting requirements;</t>
        </is>
      </c>
      <c r="C19" s="46" t="n"/>
      <c r="D19" s="46" t="n"/>
      <c r="E19" s="46" t="n"/>
    </row>
    <row r="20" ht="15.75" customFormat="1" customHeight="1" s="92">
      <c r="A20" s="98" t="n">
        <v>3</v>
      </c>
      <c r="B20" s="99" t="inlineStr">
        <is>
          <t>Gives a true and fair view of the health facility's expenses for the targeted costing exercise year to determine patient-level costs;</t>
        </is>
      </c>
      <c r="C20" s="46" t="n"/>
      <c r="D20" s="46" t="n"/>
      <c r="E20" s="46" t="n"/>
    </row>
    <row r="21" ht="15.75" customFormat="1" customHeight="1" s="92">
      <c r="A21" s="98" t="n">
        <v>4</v>
      </c>
      <c r="B21" s="99" t="inlineStr">
        <is>
          <t>Accurately represents the patient level cost data submitted to the department for the ADCCDC collection;</t>
        </is>
      </c>
      <c r="C21" s="46" t="n"/>
      <c r="D21" s="46" t="n"/>
      <c r="E21" s="46" t="n"/>
    </row>
    <row r="22" ht="15.75" customFormat="1" customHeight="1" s="101">
      <c r="A22" s="98" t="n">
        <v>5</v>
      </c>
      <c r="B22" s="99" t="inlineStr">
        <is>
          <t>The data entered into the following templates represents the data used for the relevant submission year of the final ADCCDC collection; and</t>
        </is>
      </c>
      <c r="C22" s="100" t="n"/>
      <c r="D22" s="100" t="n"/>
      <c r="E22" s="100" t="n"/>
    </row>
    <row r="23" ht="15.75" customFormat="1" customHeight="1" s="101">
      <c r="A23" s="98" t="n">
        <v>6</v>
      </c>
      <c r="B23" s="99" t="inlineStr">
        <is>
          <t>The costing data submitted is for all final patient products, whether they are from self-pay, sponsored encounters, or insured patients.</t>
        </is>
      </c>
      <c r="C23" s="100" t="n"/>
      <c r="D23" s="100" t="n"/>
      <c r="E23" s="100" t="n"/>
    </row>
    <row r="24" ht="15.75" customFormat="1" customHeight="1" s="101">
      <c r="A24" s="98" t="n"/>
      <c r="B24" s="102" t="n"/>
      <c r="C24" s="100" t="n"/>
      <c r="D24" s="100" t="n"/>
      <c r="E24" s="100" t="n"/>
    </row>
    <row r="25" ht="15.75" customFormat="1" customHeight="1" s="101">
      <c r="A25" s="98" t="n"/>
      <c r="B25" s="102" t="n"/>
      <c r="C25" s="100" t="n"/>
      <c r="D25" s="100" t="n"/>
      <c r="E25" s="100" t="n"/>
    </row>
    <row r="26" ht="15.75" customFormat="1" customHeight="1" s="101">
      <c r="A26" s="45" t="inlineStr">
        <is>
          <t>Group</t>
        </is>
      </c>
      <c r="B26" s="14" t="inlineStr">
        <is>
          <t>Select Group</t>
        </is>
      </c>
      <c r="C26" s="103" t="n"/>
      <c r="D26" s="97" t="n"/>
      <c r="E26" s="97" t="n"/>
      <c r="F26" s="97" t="n"/>
      <c r="G26" s="97" t="n"/>
      <c r="H26" s="97" t="n"/>
      <c r="I26" s="97" t="n"/>
      <c r="J26" s="97" t="n"/>
    </row>
    <row r="27" ht="20.1" customHeight="1">
      <c r="A27" s="45" t="inlineStr">
        <is>
          <t>MF + Facility Name</t>
        </is>
      </c>
      <c r="B27" s="36" t="inlineStr">
        <is>
          <t>MF4159 - VISION DENTAL CLINIC L.L.C</t>
        </is>
      </c>
      <c r="C27" s="103" t="n"/>
      <c r="D27" s="104" t="inlineStr">
        <is>
          <t>Not applicable if you selected "Group" for Reconciliation Level</t>
        </is>
      </c>
      <c r="F27" s="97" t="n"/>
      <c r="G27" s="97" t="n"/>
      <c r="H27" s="97" t="n"/>
      <c r="I27" s="97" t="n"/>
      <c r="J27" s="97" t="n"/>
    </row>
    <row r="28" ht="14.1" customHeight="1">
      <c r="A28" s="45" t="n"/>
      <c r="B28" s="105" t="n"/>
      <c r="C28" s="103" t="n"/>
      <c r="D28" s="97" t="n"/>
      <c r="E28" s="97" t="n"/>
      <c r="F28" s="97" t="n"/>
      <c r="G28" s="97" t="n"/>
      <c r="H28" s="97" t="n"/>
      <c r="I28" s="97" t="n"/>
      <c r="J28" s="97" t="n"/>
    </row>
    <row r="29" ht="24.6" customHeight="1">
      <c r="A29" s="106" t="inlineStr">
        <is>
          <t>Signed</t>
        </is>
      </c>
      <c r="B29" s="10" t="inlineStr">
        <is>
          <t>Heba Hamdy Abdel Rahman</t>
        </is>
      </c>
      <c r="C29" s="18" t="n"/>
      <c r="D29" s="97" t="n"/>
      <c r="E29" s="97" t="n"/>
    </row>
    <row r="30" ht="21.6" customHeight="1">
      <c r="A30" s="106" t="inlineStr">
        <is>
          <t>Position</t>
        </is>
      </c>
      <c r="B30" s="39" t="inlineStr">
        <is>
          <t>Chief Executive Officer (CEO)</t>
        </is>
      </c>
      <c r="C30" s="3" t="n"/>
      <c r="D30" s="97" t="n"/>
      <c r="E30" s="97" t="n"/>
    </row>
    <row r="31" ht="19.5" customHeight="1">
      <c r="A31" s="107" t="inlineStr">
        <is>
          <t>Date</t>
        </is>
      </c>
      <c r="B31" s="147" t="n">
        <v>46322</v>
      </c>
      <c r="C31" s="3" t="n"/>
      <c r="D31" s="97" t="n"/>
      <c r="E31" s="97" t="n"/>
    </row>
    <row r="32" ht="15.75" customHeight="1">
      <c r="A32" s="107" t="inlineStr">
        <is>
          <t>Phone</t>
        </is>
      </c>
      <c r="B32" s="10" t="inlineStr">
        <is>
          <t>(971)505749749</t>
        </is>
      </c>
      <c r="C32" s="18" t="n"/>
    </row>
    <row r="33" ht="15.75" customHeight="1">
      <c r="A33" s="107" t="inlineStr">
        <is>
          <t>Work Email</t>
        </is>
      </c>
      <c r="B33" s="10" t="inlineStr">
        <is>
          <t>management@visiondentalclinic.com</t>
        </is>
      </c>
      <c r="C33" s="18" t="n"/>
    </row>
    <row r="35" ht="15.75" customHeight="1">
      <c r="A35" s="106" t="inlineStr">
        <is>
          <t xml:space="preserve">Prepared </t>
        </is>
      </c>
      <c r="B35" s="10" t="inlineStr">
        <is>
          <t>Mohamed Abdel Moniem Mohamed</t>
        </is>
      </c>
      <c r="C35" s="18" t="n"/>
    </row>
    <row r="36">
      <c r="A36" s="106" t="inlineStr">
        <is>
          <t>Position</t>
        </is>
      </c>
      <c r="B36" s="3" t="inlineStr">
        <is>
          <t>Accountant</t>
        </is>
      </c>
      <c r="C36" s="3" t="n"/>
    </row>
    <row r="37" ht="15.75" customHeight="1">
      <c r="A37" s="107" t="inlineStr">
        <is>
          <t>Date</t>
        </is>
      </c>
      <c r="B37" s="147" t="n">
        <v>46322</v>
      </c>
      <c r="C37" s="3" t="n"/>
    </row>
    <row r="38" ht="15.75" customHeight="1">
      <c r="A38" s="107" t="inlineStr">
        <is>
          <t>Phone</t>
        </is>
      </c>
      <c r="B38" s="10" t="inlineStr">
        <is>
          <t>(971)509105033</t>
        </is>
      </c>
      <c r="C38" s="18" t="n"/>
    </row>
    <row r="39" ht="15.75" customHeight="1">
      <c r="A39" s="107" t="inlineStr">
        <is>
          <t>Work Email</t>
        </is>
      </c>
      <c r="B39" s="10" t="inlineStr">
        <is>
          <t>accounts@visiondentalclinic.com</t>
        </is>
      </c>
      <c r="C39" s="18" t="n"/>
    </row>
  </sheetData>
  <sheetProtection selectLockedCells="1" selectUnlockedCells="0" algorithmName="SHA-512" sheet="1" objects="1" insertRows="1" insertHyperlinks="1" autoFilter="1" scenarios="1" formatColumns="1" deleteColumns="1" insertColumns="1" pivotTables="1" deleteRows="1" formatCells="1" saltValue="dkxE8c9zz8q8GYHNWUoj6w==" formatRows="1" sort="1" spinCount="100000" hashValue="rSmPS6g5PMjmGJl6bUHwn3Zl51QYbCOPX2GZYZg1QVszwkmE0wlmf1cBgqpeZ5esbHkEwmVh+37TIGNJIecpaw=="/>
  <mergeCells count="2">
    <mergeCell ref="B1:E2"/>
    <mergeCell ref="A1:A5"/>
  </mergeCells>
  <dataValidations count="2">
    <dataValidation sqref="G31" showDropDown="0" showInputMessage="1" showErrorMessage="1" allowBlank="1" type="list">
      <formula1>$G$35:$G$38</formula1>
    </dataValidation>
    <dataValidation sqref="E6 E15" showDropDown="0" showInputMessage="1" showErrorMessage="1" allowBlank="1" type="list">
      <formula1>#REF!</formula1>
    </dataValidation>
  </dataValidations>
  <pageMargins left="0.7" right="0.7" top="0.75" bottom="0.75" header="0.3" footer="0.3"/>
</worksheet>
</file>

<file path=xl/worksheets/sheet3.xml><?xml version="1.0" encoding="utf-8"?>
<worksheet xmlns="http://schemas.openxmlformats.org/spreadsheetml/2006/main">
  <sheetPr codeName="Sheet6">
    <tabColor rgb="FFAC7F00"/>
    <outlinePr summaryBelow="1" summaryRight="1"/>
    <pageSetUpPr/>
  </sheetPr>
  <dimension ref="B2:K4617"/>
  <sheetViews>
    <sheetView topLeftCell="A3298" workbookViewId="0">
      <selection activeCell="A3584" sqref="A1:XFD1048576"/>
    </sheetView>
  </sheetViews>
  <sheetFormatPr baseColWidth="8" defaultColWidth="9.140625" defaultRowHeight="14.25"/>
  <cols>
    <col width="9.140625" customWidth="1" style="22" min="1" max="1"/>
    <col width="30.85546875" bestFit="1" customWidth="1" style="22" min="2" max="2"/>
    <col width="9.140625" customWidth="1" style="22" min="3" max="16384"/>
  </cols>
  <sheetData>
    <row r="2">
      <c r="B2" s="22" t="inlineStr">
        <is>
          <t>Submission Year</t>
        </is>
      </c>
    </row>
    <row r="3">
      <c r="B3" s="22" t="inlineStr">
        <is>
          <t>Select Submission Year</t>
        </is>
      </c>
      <c r="C3" s="22" t="inlineStr">
        <is>
          <t>Select Submission Year</t>
        </is>
      </c>
    </row>
    <row r="4">
      <c r="B4" s="22" t="inlineStr">
        <is>
          <t>SY-01-2024</t>
        </is>
      </c>
      <c r="C4" s="22" t="inlineStr">
        <is>
          <t>Financial Year 2024</t>
        </is>
      </c>
    </row>
    <row r="5">
      <c r="B5" s="22" t="inlineStr">
        <is>
          <t>SY-02-2025</t>
        </is>
      </c>
      <c r="C5" s="22" t="inlineStr">
        <is>
          <t>Financial Year 2025</t>
        </is>
      </c>
    </row>
    <row r="6">
      <c r="B6" s="22" t="inlineStr">
        <is>
          <t>SY-03-2026</t>
        </is>
      </c>
      <c r="C6" s="22" t="inlineStr">
        <is>
          <t>Financial Year 2026</t>
        </is>
      </c>
    </row>
    <row r="7">
      <c r="B7" s="22" t="inlineStr">
        <is>
          <t>SY-04-2027</t>
        </is>
      </c>
      <c r="C7" s="22" t="inlineStr">
        <is>
          <t>Financial Year 2027</t>
        </is>
      </c>
    </row>
    <row r="9">
      <c r="B9" s="22" t="inlineStr">
        <is>
          <t>Select Accounting Method</t>
        </is>
      </c>
      <c r="C9" s="22" t="inlineStr">
        <is>
          <t>Select Accounting Method</t>
        </is>
      </c>
    </row>
    <row r="10">
      <c r="B10" s="22" t="inlineStr">
        <is>
          <t>Accrual Accounting</t>
        </is>
      </c>
      <c r="C10" s="22" t="inlineStr">
        <is>
          <t>Recognizes revenue and expenses when they are earned or incurred, typically at cost centre level, regardless of cash transactions.</t>
        </is>
      </c>
    </row>
    <row r="11">
      <c r="B11" s="22" t="inlineStr">
        <is>
          <t>Cash Accounting</t>
        </is>
      </c>
      <c r="C11" s="22" t="inlineStr">
        <is>
          <t>Records revenue and expenses solely based on cash flow, without departmental tracking.</t>
        </is>
      </c>
    </row>
    <row r="12">
      <c r="B12" s="22" t="inlineStr">
        <is>
          <t>Other (please specify)</t>
        </is>
      </c>
      <c r="C12" s="22" t="inlineStr">
        <is>
          <t>Allows for the selection of any other accounting method not listed above. Please provide the method used (column I).</t>
        </is>
      </c>
    </row>
    <row r="15">
      <c r="B15" s="22" t="inlineStr">
        <is>
          <t>Select OH Allocation Method</t>
        </is>
      </c>
      <c r="C15" s="22" t="inlineStr">
        <is>
          <t>Select OH Allocation Method</t>
        </is>
      </c>
    </row>
    <row r="16">
      <c r="B16" s="22" t="inlineStr">
        <is>
          <t>Step-Down Method</t>
        </is>
      </c>
      <c r="C16" s="22" t="inlineStr">
        <is>
          <t>This method allocates overhead costs exclusively to direct cost centers. Overhead cost centers will not receive any overhead cost allocations, even if they consume each other's activities. This approach is less accurate.</t>
        </is>
      </c>
    </row>
    <row r="17">
      <c r="B17" s="22" t="inlineStr">
        <is>
          <t>Reciprocal Method</t>
        </is>
      </c>
      <c r="C17" s="22" t="inlineStr">
        <is>
          <t>This method uses simultaneous equations to allocate overhead costs, accounting also for mutual activities provided among departments. It results in a more accurate cost distribution across both overhead and direct cost centers.</t>
        </is>
      </c>
    </row>
    <row r="20">
      <c r="B20" s="22" t="inlineStr">
        <is>
          <t>Select Costing Method</t>
        </is>
      </c>
      <c r="C20" s="22" t="inlineStr">
        <is>
          <t>Select Costing Method</t>
        </is>
      </c>
    </row>
    <row r="21">
      <c r="B21" s="22" t="inlineStr">
        <is>
          <t>Bottom-up (Activity-Based Costing)</t>
        </is>
      </c>
      <c r="C21" s="22" t="inlineStr">
        <is>
          <t>This method allocates all costs, including direct and overhead, at the patient activity level. It uses cost-drivers for each activity to determine the costs.</t>
        </is>
      </c>
    </row>
    <row r="22">
      <c r="B22" s="22" t="inlineStr">
        <is>
          <t>Top-Down</t>
        </is>
      </c>
      <c r="C22" s="22" t="inlineStr">
        <is>
          <t>This approach allocates costs at a higher level with less detail, such as at the encounter level. It results in an average cost rather than a detailed cost per activity.</t>
        </is>
      </c>
    </row>
    <row r="23">
      <c r="B23" s="22" t="inlineStr">
        <is>
          <t>Hybrid Costing (ABC and Top-Down)</t>
        </is>
      </c>
      <c r="C23" s="22" t="inlineStr">
        <is>
          <t>This method combines both approaches. 
It allocates costs with varying levels of detail, leading to an average cost for some areas and a detailed cost per activity for others.</t>
        </is>
      </c>
    </row>
    <row r="26">
      <c r="B26" s="22" t="inlineStr">
        <is>
          <t>Select Audit Status</t>
        </is>
      </c>
      <c r="C26" s="22" t="inlineStr">
        <is>
          <t>Select Audit Status</t>
        </is>
      </c>
    </row>
    <row r="27">
      <c r="B27" s="22" t="inlineStr">
        <is>
          <t>External Audit Completed</t>
        </is>
      </c>
      <c r="C27" s="22" t="inlineStr">
        <is>
          <t>An external audit has been conducted by an independent auditing firm.</t>
        </is>
      </c>
    </row>
    <row r="28">
      <c r="B28" s="22" t="inlineStr">
        <is>
          <t>No Audit Conducted</t>
        </is>
      </c>
      <c r="C28" s="22" t="inlineStr">
        <is>
          <t>No audit has been conducted</t>
        </is>
      </c>
    </row>
    <row r="31">
      <c r="B31" s="22" t="inlineStr">
        <is>
          <t>Select Option</t>
        </is>
      </c>
      <c r="C31" s="22" t="inlineStr">
        <is>
          <t>Select Option</t>
        </is>
      </c>
    </row>
    <row r="32">
      <c r="B32" s="22" t="inlineStr">
        <is>
          <t>Yes</t>
        </is>
      </c>
      <c r="C32" s="22" t="inlineStr">
        <is>
          <t>If your have used a clinical costing software</t>
        </is>
      </c>
    </row>
    <row r="33">
      <c r="B33" s="22" t="inlineStr">
        <is>
          <t>No</t>
        </is>
      </c>
      <c r="C33" s="22" t="inlineStr">
        <is>
          <t>If you have used internal applications such as Ms Excel</t>
        </is>
      </c>
    </row>
    <row r="34">
      <c r="B34" s="22" t="inlineStr">
        <is>
          <t>Costing Vendor Name</t>
        </is>
      </c>
    </row>
    <row r="37">
      <c r="B37" s="22" t="inlineStr">
        <is>
          <t>Select Option</t>
        </is>
      </c>
      <c r="C37" s="22" t="inlineStr">
        <is>
          <t>Select Option</t>
        </is>
      </c>
    </row>
    <row r="38">
      <c r="B38" s="22" t="inlineStr">
        <is>
          <t>Group Level</t>
        </is>
      </c>
      <c r="C38" s="22" t="inlineStr">
        <is>
          <t>If you will submit one Reconciliation Report for all group facilities</t>
        </is>
      </c>
    </row>
    <row r="39">
      <c r="B39" s="22" t="inlineStr">
        <is>
          <t>Facility Level</t>
        </is>
      </c>
      <c r="C39" s="22" t="inlineStr">
        <is>
          <t>In case you will submit separate Reconciliation Reports for each facility</t>
        </is>
      </c>
    </row>
    <row r="41">
      <c r="B41" s="22" t="inlineStr">
        <is>
          <t>Select Option</t>
        </is>
      </c>
    </row>
    <row r="42">
      <c r="B42" s="22" t="inlineStr">
        <is>
          <t>Chief Executive Officer (CEO)</t>
        </is>
      </c>
    </row>
    <row r="43">
      <c r="B43" s="22" t="inlineStr">
        <is>
          <t>Chief Financial Officer (CFO)</t>
        </is>
      </c>
    </row>
    <row r="44">
      <c r="B44" s="22" t="inlineStr">
        <is>
          <t>Finance Director</t>
        </is>
      </c>
    </row>
    <row r="46">
      <c r="B46" s="22" t="inlineStr">
        <is>
          <t>WIP Drop Down</t>
        </is>
      </c>
    </row>
    <row r="47" ht="15" customHeight="1">
      <c r="B47" s="128" t="inlineStr">
        <is>
          <t>YES</t>
        </is>
      </c>
    </row>
    <row r="48" ht="15" customHeight="1">
      <c r="B48" s="129" t="inlineStr">
        <is>
          <t>NO</t>
        </is>
      </c>
    </row>
    <row r="50" ht="15" customHeight="1">
      <c r="B50" s="23" t="inlineStr">
        <is>
          <t>Patient Type</t>
        </is>
      </c>
    </row>
    <row r="51">
      <c r="B51" s="22" t="inlineStr">
        <is>
          <t>1-No Bed + No Emergency</t>
        </is>
      </c>
    </row>
    <row r="52">
      <c r="B52" s="22" t="inlineStr">
        <is>
          <t>2-No Bed + Emergency</t>
        </is>
      </c>
    </row>
    <row r="53">
      <c r="B53" s="22" t="inlineStr">
        <is>
          <t>3-Inpatient + No Emergency</t>
        </is>
      </c>
    </row>
    <row r="54">
      <c r="B54" s="22" t="inlineStr">
        <is>
          <t>4-Inpatient + Emergency</t>
        </is>
      </c>
    </row>
    <row r="55">
      <c r="B55" s="22" t="inlineStr">
        <is>
          <t>5-Day Case + No Emergency</t>
        </is>
      </c>
    </row>
    <row r="56">
      <c r="B56" s="22" t="inlineStr">
        <is>
          <t>6-Day Case + Emergency</t>
        </is>
      </c>
    </row>
    <row r="57">
      <c r="B57" s="22" t="inlineStr">
        <is>
          <t>7-National Screening</t>
        </is>
      </c>
    </row>
    <row r="58">
      <c r="B58" s="22" t="inlineStr">
        <is>
          <t>8-New Visa Screening</t>
        </is>
      </c>
    </row>
    <row r="59">
      <c r="B59" s="22" t="inlineStr">
        <is>
          <t>9-Renewal Visa Screening</t>
        </is>
      </c>
    </row>
    <row r="60">
      <c r="B60" s="22" t="inlineStr">
        <is>
          <t>10-Telemedicine</t>
        </is>
      </c>
    </row>
    <row r="61">
      <c r="B61" s="22" t="inlineStr">
        <is>
          <t>12-Home Care</t>
        </is>
      </c>
    </row>
    <row r="62">
      <c r="B62" s="22" t="inlineStr">
        <is>
          <t>13-Assisted Living Facility</t>
        </is>
      </c>
    </row>
    <row r="63">
      <c r="B63" s="22" t="inlineStr">
        <is>
          <t>15-Mobile Unit</t>
        </is>
      </c>
    </row>
    <row r="64">
      <c r="B64" s="22" t="inlineStr">
        <is>
          <t>41-Ambulance - Land</t>
        </is>
      </c>
    </row>
    <row r="65">
      <c r="B65" s="22" t="inlineStr">
        <is>
          <t>42-Ambulance - Air or Water</t>
        </is>
      </c>
    </row>
    <row r="66">
      <c r="B66" s="22" t="inlineStr">
        <is>
          <t>Long Term Patient</t>
        </is>
      </c>
    </row>
    <row r="68">
      <c r="B68" s="22" t="inlineStr">
        <is>
          <t>Data Validation - Non-Compliance</t>
        </is>
      </c>
    </row>
    <row r="69">
      <c r="B69" s="22" t="inlineStr">
        <is>
          <t>Warning</t>
        </is>
      </c>
    </row>
    <row r="70">
      <c r="B70" s="22" t="inlineStr">
        <is>
          <t>Rejection</t>
        </is>
      </c>
    </row>
    <row r="75" ht="15" customHeight="1">
      <c r="B75" s="23" t="inlineStr">
        <is>
          <t>Facility MF + Name</t>
        </is>
      </c>
    </row>
    <row r="76" ht="15" customHeight="1">
      <c r="B76" s="45" t="inlineStr">
        <is>
          <t>Select MF + Facility Name</t>
        </is>
      </c>
    </row>
    <row r="77">
      <c r="B77" s="22" t="inlineStr">
        <is>
          <t>MF2483 - TOP CARE HOSPITAL</t>
        </is>
      </c>
    </row>
    <row r="78">
      <c r="B78" s="22" t="inlineStr">
        <is>
          <t>MF204 - TRADITIONAL CHINESE MEDICAL CLINIC</t>
        </is>
      </c>
    </row>
    <row r="79">
      <c r="B79" s="22" t="inlineStr">
        <is>
          <t>MF2088 - SUWAIHAN HEALTHCARE CENTER</t>
        </is>
      </c>
    </row>
    <row r="80">
      <c r="B80" s="22" t="inlineStr">
        <is>
          <t>MF1504 - SARHAD MEDICAL CENTER</t>
        </is>
      </c>
    </row>
    <row r="81">
      <c r="B81" s="22" t="inlineStr">
        <is>
          <t xml:space="preserve">MF681 - ROYAL MEDICAL CENTER </t>
        </is>
      </c>
    </row>
    <row r="82">
      <c r="B82" s="22" t="inlineStr">
        <is>
          <t>MF2209 - PEARLY SMILE DENTAL CLINIC/BRANCH</t>
        </is>
      </c>
    </row>
    <row r="83">
      <c r="B83" s="22" t="inlineStr">
        <is>
          <t>MF1837 - PESHAWAR MEDICAL CENTRE</t>
        </is>
      </c>
    </row>
    <row r="84">
      <c r="B84" s="22" t="inlineStr">
        <is>
          <t>MF416 - PIONEERS INTERNATIONAL PRIVATE SCHOOL</t>
        </is>
      </c>
    </row>
    <row r="85">
      <c r="B85" s="22" t="inlineStr">
        <is>
          <t>MF1976 - OXFORD MEDICAL CENTER L.L.C</t>
        </is>
      </c>
    </row>
    <row r="86">
      <c r="B86" s="22" t="inlineStr">
        <is>
          <t>MF1050 - PALACE CLINIC</t>
        </is>
      </c>
    </row>
    <row r="87">
      <c r="B87" s="22" t="inlineStr">
        <is>
          <t>MF1541 - MESSIFAT</t>
        </is>
      </c>
    </row>
    <row r="88">
      <c r="B88" s="22" t="inlineStr">
        <is>
          <t>MF2102 - MEZYAD HEALTHCARE CENTER</t>
        </is>
      </c>
    </row>
    <row r="89">
      <c r="B89" s="22" t="inlineStr">
        <is>
          <t>MF2125 - MEDICAL SERVICES ADMINISTRATION OF ABU DHABI POLICE GHQ</t>
        </is>
      </c>
    </row>
    <row r="90">
      <c r="B90" s="22" t="inlineStr">
        <is>
          <t>MF1108 - Maher Medical Centre LLC</t>
        </is>
      </c>
    </row>
    <row r="91">
      <c r="B91" s="22" t="inlineStr">
        <is>
          <t>MF194 - APPOLONIA ADVANCED PEDIATRIC DENTAL CENTER LLC</t>
        </is>
      </c>
    </row>
    <row r="92">
      <c r="B92" s="22" t="inlineStr">
        <is>
          <t>MF1564 - MADYAN INSTITUTE</t>
        </is>
      </c>
    </row>
    <row r="93">
      <c r="B93" s="22" t="inlineStr">
        <is>
          <t>MF2142 - LASER CARE CLINIC</t>
        </is>
      </c>
    </row>
    <row r="94">
      <c r="B94" s="22" t="inlineStr">
        <is>
          <t>MF1760 - LIFE LINE ROYAL MEDICAL CENTER LLC</t>
        </is>
      </c>
    </row>
    <row r="95">
      <c r="B95" s="22" t="inlineStr">
        <is>
          <t>MF613 - JEIROUDI ORTHODONTIC CENTER</t>
        </is>
      </c>
    </row>
    <row r="96">
      <c r="B96" s="22" t="inlineStr">
        <is>
          <t>MF669 - JULFAR  DENTAL CLINIC - L.L.C - S.P.C</t>
        </is>
      </c>
    </row>
    <row r="97">
      <c r="B97" s="22" t="inlineStr">
        <is>
          <t>MF286 - ISLAMABAD MEDICAL CENTER</t>
        </is>
      </c>
    </row>
    <row r="98">
      <c r="B98" s="22" t="inlineStr">
        <is>
          <t>MF271 - HAMDAN  SPECIALIZED POLYCLINIC</t>
        </is>
      </c>
    </row>
    <row r="99">
      <c r="B99" s="22" t="inlineStr">
        <is>
          <t>MF272 - CURE ARENA MEDICAL CENTER - L.L.C</t>
        </is>
      </c>
    </row>
    <row r="100">
      <c r="B100" s="22" t="inlineStr">
        <is>
          <t>MF2476 - HEALTH PLUS DENTAL CENTER</t>
        </is>
      </c>
    </row>
    <row r="101">
      <c r="B101" s="22" t="inlineStr">
        <is>
          <t>MF2495 - GLOBAL MEDICAL SOLUTIONS HOSPITAL MANAGEMENT - L LC</t>
        </is>
      </c>
    </row>
    <row r="102">
      <c r="B102" s="22" t="inlineStr">
        <is>
          <t>MF239 - FAIZ MEDICAL CENTRE</t>
        </is>
      </c>
    </row>
    <row r="103">
      <c r="B103" s="22" t="inlineStr">
        <is>
          <t>MF1286 - FRENCH CLINICS MEDICAL AND DENTAL L.L.C</t>
        </is>
      </c>
    </row>
    <row r="104">
      <c r="B104" s="22" t="inlineStr">
        <is>
          <t>MF229 - ELITE MEDICAL CLINIC</t>
        </is>
      </c>
    </row>
    <row r="105">
      <c r="B105" s="22" t="inlineStr">
        <is>
          <t>MF491 - DR. WISSAM ZANTOUT DENTAL CLINIC</t>
        </is>
      </c>
    </row>
    <row r="106">
      <c r="B106" s="22" t="inlineStr">
        <is>
          <t>MF653 - DR. ZAFFAR MOHAMMED MEDICAL CLINIC</t>
        </is>
      </c>
    </row>
    <row r="107">
      <c r="B107" s="22" t="inlineStr">
        <is>
          <t>MF310 - DR. KHALID ALJAMAL MEDICAL CENTER</t>
        </is>
      </c>
    </row>
    <row r="108">
      <c r="B108" s="22" t="inlineStr">
        <is>
          <t>MF1260 - DR. KHAMIS ABU JALAL SURGERY CLINIC</t>
        </is>
      </c>
    </row>
    <row r="109">
      <c r="B109" s="22" t="inlineStr">
        <is>
          <t>MF914 - DR. MOHAMED ORFAN AL- KALTAKJI CLINIC</t>
        </is>
      </c>
    </row>
    <row r="110">
      <c r="B110" s="22" t="inlineStr">
        <is>
          <t>MF369 - MAX CARE MEDICAL CENTER</t>
        </is>
      </c>
    </row>
    <row r="111">
      <c r="B111" s="22" t="inlineStr">
        <is>
          <t>MF381 - YAMINA MEDICAL CENTER L.L.C</t>
        </is>
      </c>
    </row>
    <row r="112">
      <c r="B112" s="22" t="inlineStr">
        <is>
          <t>MF1933 - DR AHMED KAMEL CLINIC - L.L.C - S.P.C</t>
        </is>
      </c>
    </row>
    <row r="113">
      <c r="B113" s="22" t="inlineStr">
        <is>
          <t>MF230 - DR. ELISABETH DENTAL CLINIC</t>
        </is>
      </c>
    </row>
    <row r="114">
      <c r="B114" s="22" t="inlineStr">
        <is>
          <t>MF238 - DR. FAIZ HADDAD CLINIC</t>
        </is>
      </c>
    </row>
    <row r="115">
      <c r="B115" s="22" t="inlineStr">
        <is>
          <t>MF1380 - DESERT PHYSIOTHERAPY CENTRE</t>
        </is>
      </c>
    </row>
    <row r="116">
      <c r="B116" s="22" t="inlineStr">
        <is>
          <t>MF2492 - DISEASE PREVENTION AND SCREENING CENTER - MADINAT ZAYED</t>
        </is>
      </c>
    </row>
    <row r="117">
      <c r="B117" s="22" t="inlineStr">
        <is>
          <t>MF2498 - CLINIC DODSAL ENGG. CONST. LTD - TARIFF BRANCH</t>
        </is>
      </c>
    </row>
    <row r="118">
      <c r="B118" s="22" t="inlineStr">
        <is>
          <t>MF2072 - DODSAL GENERAL CLINIC (MUSAFFAH)</t>
        </is>
      </c>
    </row>
    <row r="119">
      <c r="B119" s="22" t="inlineStr">
        <is>
          <t>MF1109 - DAR AL OLOOM PRIVATE SCHOOL CLINIC</t>
        </is>
      </c>
    </row>
    <row r="120">
      <c r="B120" s="22" t="inlineStr">
        <is>
          <t>MF2131 - CONSOLIDATED CONTRACTORS INTERNATIONAL COMPANY CLINIC</t>
        </is>
      </c>
    </row>
    <row r="121">
      <c r="B121" s="22" t="inlineStr">
        <is>
          <t>MF2459 - CORNISHE HOSPITAL</t>
        </is>
      </c>
    </row>
    <row r="122">
      <c r="B122" s="22" t="inlineStr">
        <is>
          <t>MF205 - FIRST CITY MEDICAL CENTER L.L.C.</t>
        </is>
      </c>
    </row>
    <row r="123">
      <c r="B123" s="22" t="inlineStr">
        <is>
          <t>MF1228 - BEAUTY ALLIANCE SKIN &amp; BEAUTY MEDICAL CENTRE.</t>
        </is>
      </c>
    </row>
    <row r="124">
      <c r="B124" s="22" t="inlineStr">
        <is>
          <t>MF1242 - BASHIRA SPECIALIZED MEDICAL CLINIC - L.L.C - S.P.C</t>
        </is>
      </c>
    </row>
    <row r="125">
      <c r="B125" s="22" t="inlineStr">
        <is>
          <t>MF183 - BADAWI CLINIC</t>
        </is>
      </c>
    </row>
    <row r="126">
      <c r="B126" s="22" t="inlineStr">
        <is>
          <t>MF1124 - AMRITA MEDICAL CENTRE L.L.C  L.L.C.</t>
        </is>
      </c>
    </row>
    <row r="127">
      <c r="B127" s="22" t="inlineStr">
        <is>
          <t>MF2243 - ALIYA SPECIALISED ORTHODONTIC CLINIC</t>
        </is>
      </c>
    </row>
    <row r="128">
      <c r="B128" s="22" t="inlineStr">
        <is>
          <t>MF2514 - Al Shamkha Healthcare Center</t>
        </is>
      </c>
    </row>
    <row r="129">
      <c r="B129" s="22" t="inlineStr">
        <is>
          <t>MF848 - AL TAQWA DENTAL CLINIC</t>
        </is>
      </c>
    </row>
    <row r="130">
      <c r="B130" s="22" t="inlineStr">
        <is>
          <t>MF149 - AL WAFA MEDICAL CLINIC</t>
        </is>
      </c>
    </row>
    <row r="131">
      <c r="B131" s="22" t="inlineStr">
        <is>
          <t>MF2402 - AL RAYAN HOSPITAL OWNED BY JABER JASEM ALMEHIRI-SOLE PROPRIETORSHIP LLC</t>
        </is>
      </c>
    </row>
    <row r="132">
      <c r="B132" s="22" t="inlineStr">
        <is>
          <t>MF1397 - ORTHOPLUS BONE AND JOINT CENTER- SOLE PROPRIETORSHIP L.L.C</t>
        </is>
      </c>
    </row>
    <row r="133">
      <c r="B133" s="22" t="inlineStr">
        <is>
          <t>MF570 - AL RAEY MEDICAL CLINIC</t>
        </is>
      </c>
    </row>
    <row r="134">
      <c r="B134" s="22" t="inlineStr">
        <is>
          <t>MF254 - AL ABEER MEDICAL CENTER DAY SURGERY UNIT L.L.C.</t>
        </is>
      </c>
    </row>
    <row r="135">
      <c r="B135" s="22" t="inlineStr">
        <is>
          <t>MF2167 - AL NEBRAS DENTAL CLINIC</t>
        </is>
      </c>
    </row>
    <row r="136">
      <c r="B136" s="22" t="inlineStr">
        <is>
          <t>MF1240 - MEDICLINIC HOSPITALS - ALMUSAFAH</t>
        </is>
      </c>
    </row>
    <row r="137">
      <c r="B137" s="22" t="inlineStr">
        <is>
          <t>MF119 - AL NOOR MEDICAL CENTER - WLL</t>
        </is>
      </c>
    </row>
    <row r="138">
      <c r="B138" s="22" t="inlineStr">
        <is>
          <t>MF109 - AL MASHREQ SPECIALIZED MEDICAL CENTRE</t>
        </is>
      </c>
    </row>
    <row r="139">
      <c r="B139" s="22" t="inlineStr">
        <is>
          <t>MF2096 - Al Khabisi Healthcare Center</t>
        </is>
      </c>
    </row>
    <row r="140">
      <c r="B140" s="22" t="inlineStr">
        <is>
          <t xml:space="preserve">MF2056 - AL JAHILI HEALTHCARE CENTER </t>
        </is>
      </c>
    </row>
    <row r="141">
      <c r="B141" s="22" t="inlineStr">
        <is>
          <t>MF1301 - AL FAISAL MEDICAL CENTER</t>
        </is>
      </c>
    </row>
    <row r="142">
      <c r="B142" s="22" t="inlineStr">
        <is>
          <t>MF2393 - AL FALAH CLINIC</t>
        </is>
      </c>
    </row>
    <row r="143">
      <c r="B143" s="22" t="inlineStr">
        <is>
          <t>MF1206 - Alanis Medical Center - Sole Proprietorship L.L.C</t>
        </is>
      </c>
    </row>
    <row r="144">
      <c r="B144" s="22" t="inlineStr">
        <is>
          <t>MF1336 - ADAMS MEDICAL CENTER</t>
        </is>
      </c>
    </row>
    <row r="145">
      <c r="B145" s="22" t="inlineStr">
        <is>
          <t>MF2990 - AL JABER ESTABLISHMENT MEDICAL CLINIC -IKAD2  BRANCH</t>
        </is>
      </c>
    </row>
    <row r="146">
      <c r="B146" s="22" t="inlineStr">
        <is>
          <t>MF2927 - AL MAALI MEDICAL POLYCLINIC-L.L.C.</t>
        </is>
      </c>
    </row>
    <row r="147">
      <c r="B147" s="22" t="inlineStr">
        <is>
          <t>MF2979 - INFINITY HOME CARE - SOLE PROPRIETORSHIP L.L.C.</t>
        </is>
      </c>
    </row>
    <row r="148">
      <c r="B148" s="22" t="inlineStr">
        <is>
          <t>MF2971 - T2 EXPERTS HEALTH INFORMATION MANAGEMENT LLC</t>
        </is>
      </c>
    </row>
    <row r="149">
      <c r="B149" s="22" t="inlineStr">
        <is>
          <t>MF2558 - WASTERN REGION POLICE CLINIC</t>
        </is>
      </c>
    </row>
    <row r="150">
      <c r="B150" s="22" t="inlineStr">
        <is>
          <t>MF3005 - Clinica Kafa Poly Clinic L.L.C.</t>
        </is>
      </c>
    </row>
    <row r="151">
      <c r="B151" s="22" t="inlineStr">
        <is>
          <t>MF2598 - DAR AL SHIFA GERMEN PHYSIOTHERAPY CENTER L . L . C</t>
        </is>
      </c>
    </row>
    <row r="152">
      <c r="B152" s="22" t="inlineStr">
        <is>
          <t>MF3032 - ALSHAMAL GENERAL HOSPITAL</t>
        </is>
      </c>
    </row>
    <row r="153">
      <c r="B153" s="22" t="inlineStr">
        <is>
          <t>MF3105 - HEALTH LINE MEDICAL CENTER</t>
        </is>
      </c>
    </row>
    <row r="154">
      <c r="B154" s="22" t="inlineStr">
        <is>
          <t>MF3065 - NOVA MEDICAL CENTER</t>
        </is>
      </c>
    </row>
    <row r="155">
      <c r="B155" s="22" t="inlineStr">
        <is>
          <t>MF3100 - SPARKLE DENTAL BOUTIQUE LLC</t>
        </is>
      </c>
    </row>
    <row r="156">
      <c r="B156" s="22" t="inlineStr">
        <is>
          <t>MF245 - FAXIUS DENTAL CENTER</t>
        </is>
      </c>
    </row>
    <row r="157">
      <c r="B157" s="22" t="inlineStr">
        <is>
          <t>MF1436 - AL RAHBA AL AHLI MEDICAL CENTRE</t>
        </is>
      </c>
    </row>
    <row r="158">
      <c r="B158" s="22" t="inlineStr">
        <is>
          <t>MF3162 - AL ALIYA SPECIALIZED MEDICAL CLINIC</t>
        </is>
      </c>
    </row>
    <row r="159">
      <c r="B159" s="22" t="inlineStr">
        <is>
          <t>MF3161 - AMARYLLIS POLY CLINIC - L.L.C - O.P.C</t>
        </is>
      </c>
    </row>
    <row r="160">
      <c r="B160" s="22" t="inlineStr">
        <is>
          <t>MF931 - FAMILY MEDICAL CLINIC</t>
        </is>
      </c>
    </row>
    <row r="161">
      <c r="B161" s="22" t="inlineStr">
        <is>
          <t>MF1498 - LOOK OPTICALS/2</t>
        </is>
      </c>
    </row>
    <row r="162">
      <c r="B162" s="22" t="inlineStr">
        <is>
          <t>MF1344 - LULU AL EMIRATE DENTAL CENTER - L.L.C - O.P.C</t>
        </is>
      </c>
    </row>
    <row r="163">
      <c r="B163" s="22" t="inlineStr">
        <is>
          <t>MF2338 - HIGH CLASS MEDICAL CENTER</t>
        </is>
      </c>
    </row>
    <row r="164">
      <c r="B164" s="22" t="inlineStr">
        <is>
          <t>MF1992 - GULF INTERNATIONAL CANCER CENTER</t>
        </is>
      </c>
    </row>
    <row r="165">
      <c r="B165" s="22" t="inlineStr">
        <is>
          <t>MF336 - DR.MARWAN ISA GHURANI CLINIC</t>
        </is>
      </c>
    </row>
    <row r="166">
      <c r="B166" s="22" t="inlineStr">
        <is>
          <t>MF1845 - ASTER PRIMARY CARE L.L.C.</t>
        </is>
      </c>
    </row>
    <row r="167">
      <c r="B167" s="22" t="inlineStr">
        <is>
          <t>MF846 - DR GHALEB KHALAILI PEDIATRIC CLINIC  LLC OPC</t>
        </is>
      </c>
    </row>
    <row r="168">
      <c r="B168" s="22" t="inlineStr">
        <is>
          <t>MF1944 - RETAJ MEDICAL CENTER L.L.C.</t>
        </is>
      </c>
    </row>
    <row r="169">
      <c r="B169" s="22" t="inlineStr">
        <is>
          <t>MF120 - DENTACARE CENTRE - L.L.C - S.P.C</t>
        </is>
      </c>
    </row>
    <row r="170">
      <c r="B170" s="22" t="inlineStr">
        <is>
          <t>MF641 - AL SALAMA CLINIC - MEDICAL CONSULTANT</t>
        </is>
      </c>
    </row>
    <row r="171">
      <c r="B171" s="22" t="inlineStr">
        <is>
          <t>MF2139 - AL RESALA MEDICAL CENTRE</t>
        </is>
      </c>
    </row>
    <row r="172">
      <c r="B172" s="22" t="inlineStr">
        <is>
          <t>MF105 - AL FARHAN MEDICAL CENTER -L.L.C - O.P.C</t>
        </is>
      </c>
    </row>
    <row r="173">
      <c r="B173" s="22" t="inlineStr">
        <is>
          <t>MF2260 - AL BALADI HOSPITAL</t>
        </is>
      </c>
    </row>
    <row r="174">
      <c r="B174" s="22" t="inlineStr">
        <is>
          <t>MF40 - AL AHLI SPECIALISTS MEDICAL CENTRE - L.L.C</t>
        </is>
      </c>
    </row>
    <row r="175">
      <c r="B175" s="22" t="inlineStr">
        <is>
          <t>MF2996 - PANORAMA MEDICAL CENTER - SOLE PROPRIETORSHIP L.L.C.</t>
        </is>
      </c>
    </row>
    <row r="176">
      <c r="B176" s="22" t="inlineStr">
        <is>
          <t>MF3006 - NEW YORK UNIVERSITY IN ABU DHABI CORPORATION-ABU DHABI CLINIC</t>
        </is>
      </c>
    </row>
    <row r="177">
      <c r="B177" s="22" t="inlineStr">
        <is>
          <t>MF2938 - PANORAMA MEDICAL CENTER</t>
        </is>
      </c>
    </row>
    <row r="178">
      <c r="B178" s="22" t="inlineStr">
        <is>
          <t>MF2563 - CORRECTION&amp;PRISONS ADM CLINIC /ALSADER</t>
        </is>
      </c>
    </row>
    <row r="179">
      <c r="B179" s="22" t="inlineStr">
        <is>
          <t>MF3085 - EMIRATES AND JAPANES DIET CENTER - SOLE PROPRIETORSHIP L.L.C</t>
        </is>
      </c>
    </row>
    <row r="180">
      <c r="B180" s="22" t="inlineStr">
        <is>
          <t>MF2953 - BEAUTY FOREVER</t>
        </is>
      </c>
    </row>
    <row r="181">
      <c r="B181" s="22" t="inlineStr">
        <is>
          <t>MF3151 - ADNOC SCHOOLS - SAS AL NAKHL  CLINIC</t>
        </is>
      </c>
    </row>
    <row r="182">
      <c r="B182" s="22" t="inlineStr">
        <is>
          <t>MF3176 - OPEN MR FOR SPINE SURGERY - BRANCH OF ABU DHABI 1</t>
        </is>
      </c>
    </row>
    <row r="183">
      <c r="B183" s="22" t="inlineStr">
        <is>
          <t>MF3188 - Al Jazeerah Medical Center for Women &amp; Children One Day Surgery</t>
        </is>
      </c>
    </row>
    <row r="184">
      <c r="B184" s="22" t="inlineStr">
        <is>
          <t>MF3203 - SEHA KIDNEY CARE - GHAITHY HOSPITAL</t>
        </is>
      </c>
    </row>
    <row r="185">
      <c r="B185" s="22" t="inlineStr">
        <is>
          <t>MF3250 - NOOR AL FALAH AYURVEDIC REHABILITATION CENTER</t>
        </is>
      </c>
    </row>
    <row r="186">
      <c r="B186" s="22" t="inlineStr">
        <is>
          <t>MF3292 - VOCATIONAL EDUCATION DEVELOPMENT CENTER CLINIC</t>
        </is>
      </c>
    </row>
    <row r="187">
      <c r="B187" s="22" t="inlineStr">
        <is>
          <t>MF3304 - DISEASE PREVENTION AND SCREENING CENTER- SWEIHAN</t>
        </is>
      </c>
    </row>
    <row r="188">
      <c r="B188" s="22" t="inlineStr">
        <is>
          <t>MF3305 - Diseases Prevention and Screening Centre</t>
        </is>
      </c>
    </row>
    <row r="189">
      <c r="B189" s="22" t="inlineStr">
        <is>
          <t>MF1732 - LOTUS HOLISTIC ALTERNATIVE MEDICAL CENTRE</t>
        </is>
      </c>
    </row>
    <row r="190">
      <c r="B190" s="22" t="inlineStr">
        <is>
          <t>MF2413 - AL-AIN AMERICAN HOSPITAL -LLC</t>
        </is>
      </c>
    </row>
    <row r="191">
      <c r="B191" s="22" t="inlineStr">
        <is>
          <t>MF2372 - ABU DHABI REHABILITATION CENTER</t>
        </is>
      </c>
    </row>
    <row r="192">
      <c r="B192" s="22" t="inlineStr">
        <is>
          <t>MF3321 - Tathqeef Health Treatment Undertakings Services</t>
        </is>
      </c>
    </row>
    <row r="193">
      <c r="B193" s="22" t="inlineStr">
        <is>
          <t>MF240 - HAPPY FAMILY MEDICAL CENTER</t>
        </is>
      </c>
    </row>
    <row r="194">
      <c r="B194" s="22" t="inlineStr">
        <is>
          <t>MF2378 - Al Dhafra Dental Center</t>
        </is>
      </c>
    </row>
    <row r="195">
      <c r="B195" s="22" t="inlineStr">
        <is>
          <t>MF1960 - DARALRAHMA MEDICAL CENTER</t>
        </is>
      </c>
    </row>
    <row r="196">
      <c r="B196" s="22" t="inlineStr">
        <is>
          <t>MF192 - ALSHIFAA ALMUTAMAYIZ MEDICAL CENTER -L.L.C</t>
        </is>
      </c>
    </row>
    <row r="197">
      <c r="B197" s="22" t="inlineStr">
        <is>
          <t>MF2073 - BEHAVIORAL SCIENCES PAVILION</t>
        </is>
      </c>
    </row>
    <row r="198">
      <c r="B198" s="22" t="inlineStr">
        <is>
          <t>MF1830 - AL REYADA MEDICAL CENTER L.L.C.</t>
        </is>
      </c>
    </row>
    <row r="199">
      <c r="B199" s="22" t="inlineStr">
        <is>
          <t xml:space="preserve">MF2394 - AL MAFRAQ HEALTHCARE CENTER </t>
        </is>
      </c>
    </row>
    <row r="200">
      <c r="B200" s="22" t="inlineStr">
        <is>
          <t>MF2362 - TAWAM MOLECULAR IMAGING CENTER - L.L.C - O.P.C</t>
        </is>
      </c>
    </row>
    <row r="201">
      <c r="B201" s="22" t="inlineStr">
        <is>
          <t>MF2572 - HOLIDAY INN ABU DHABI CLINIC</t>
        </is>
      </c>
    </row>
    <row r="202">
      <c r="B202" s="22" t="inlineStr">
        <is>
          <t>MF2562 - CORRECTION &amp; PRISONS CLINIC/ AL AIN MANAGED BY BURJEEL HOSPITAL L.L.C</t>
        </is>
      </c>
    </row>
    <row r="203">
      <c r="B203" s="22" t="inlineStr">
        <is>
          <t>MF576 - NATIONAL DENTAL CLINIC - L.L.C</t>
        </is>
      </c>
    </row>
    <row r="204">
      <c r="B204" s="22" t="inlineStr">
        <is>
          <t>MF2518 - MAHMUT SABUNCU DENTAL CENTER LLC</t>
        </is>
      </c>
    </row>
    <row r="205">
      <c r="B205" s="22" t="inlineStr">
        <is>
          <t xml:space="preserve">MF2463 - Yas Clinic Khalifa City  Sole Proprietorship L.L.C </t>
        </is>
      </c>
    </row>
    <row r="206">
      <c r="B206" s="22" t="inlineStr">
        <is>
          <t>MF2101 - AL AAMERAH HEALTHCARE CENTER</t>
        </is>
      </c>
    </row>
    <row r="207">
      <c r="B207" s="22" t="inlineStr">
        <is>
          <t>MF1299 - AL HALFI PEADIATRIC SURGERY CONSULTANCY CLINIC</t>
        </is>
      </c>
    </row>
    <row r="208">
      <c r="B208" s="22" t="inlineStr">
        <is>
          <t>MF2614 - UMNIYA IVF AND TREATMENT OF INFERTILITY - L.L.C - S.P.C</t>
        </is>
      </c>
    </row>
    <row r="209">
      <c r="B209" s="22" t="inlineStr">
        <is>
          <t>MF2549 - ABU DHABI MEDICAL CENTER FOR PEOPLE WITH SPECIAL NEEDS</t>
        </is>
      </c>
    </row>
    <row r="210">
      <c r="B210" s="22" t="inlineStr">
        <is>
          <t>MF2976 - ALHARAMAIN ONE DAY SURGERY HOSPITAL</t>
        </is>
      </c>
    </row>
    <row r="211">
      <c r="B211" s="22" t="inlineStr">
        <is>
          <t>MF2588 - ALMADINA MEDICAL CENTER FOR SPECIALTY CLINICS L L C</t>
        </is>
      </c>
    </row>
    <row r="212">
      <c r="B212" s="22" t="inlineStr">
        <is>
          <t>MF3000 - FAKIH IVF FERTILITY CENTER LTD</t>
        </is>
      </c>
    </row>
    <row r="213">
      <c r="B213" s="22" t="inlineStr">
        <is>
          <t>MF3112 - MAGRABI EYE CENTER - DAY CARE SURGERY- L.L.C - O.P.C</t>
        </is>
      </c>
    </row>
    <row r="214">
      <c r="B214" s="22" t="inlineStr">
        <is>
          <t>MF3248 - TOWER CLINIC DENTAL CLINIC L L C- BRANCH 1</t>
        </is>
      </c>
    </row>
    <row r="215">
      <c r="B215" s="22" t="inlineStr">
        <is>
          <t>MF3766 - ADVANCE CURE DIAGNOSTIC CENTRE - LLC -- BRANCH1</t>
        </is>
      </c>
    </row>
    <row r="216">
      <c r="B216" s="22" t="inlineStr">
        <is>
          <t>MF982 - DR. MOHAMED EBRAHIM BIN YAQOOB CLINIC</t>
        </is>
      </c>
    </row>
    <row r="217">
      <c r="B217" s="22" t="inlineStr">
        <is>
          <t>MF3600 - ARABIAN HEALTHCARE GROUP LLC - BRANCH OF ABU DHABI 1</t>
        </is>
      </c>
    </row>
    <row r="218">
      <c r="B218" s="22" t="inlineStr">
        <is>
          <t>MF3529 - HOME HEALTH MEDICAL CENTRE - LLC - BRANCH 1</t>
        </is>
      </c>
    </row>
    <row r="219">
      <c r="B219" s="22" t="inlineStr">
        <is>
          <t>MF3531 - GLITTER DRINGENDEN CLINICS</t>
        </is>
      </c>
    </row>
    <row r="220">
      <c r="B220" s="22" t="inlineStr">
        <is>
          <t>MF3583 - FATIMA COLLEGE OF HEALTH SCIENCES</t>
        </is>
      </c>
    </row>
    <row r="221">
      <c r="B221" s="22" t="inlineStr">
        <is>
          <t>MF3614 - DAR AL SHIFAA SPECIALTY HOSPITAL FOR WOMEN &amp;CHILDREN L.L.C</t>
        </is>
      </c>
    </row>
    <row r="222">
      <c r="B222" s="22" t="inlineStr">
        <is>
          <t>MF3602 - ANGAL HOME HEALTH CARE L.L.C</t>
        </is>
      </c>
    </row>
    <row r="223">
      <c r="B223" s="22" t="inlineStr">
        <is>
          <t>MF3546 - LUMIERE SKIN MEDICAL CENTER - L.L.C</t>
        </is>
      </c>
    </row>
    <row r="224">
      <c r="B224" s="22" t="inlineStr">
        <is>
          <t>MF3550 - SHAH MEDICAL CENTER COMPLEX</t>
        </is>
      </c>
    </row>
    <row r="225">
      <c r="B225" s="22" t="inlineStr">
        <is>
          <t>MF3551 - SAHIL MEDICAL CENTER</t>
        </is>
      </c>
    </row>
    <row r="226">
      <c r="B226" s="22" t="inlineStr">
        <is>
          <t>MF3615 - TOTAL CARE DENTAL CENTRE LLC</t>
        </is>
      </c>
    </row>
    <row r="227">
      <c r="B227" s="22" t="inlineStr">
        <is>
          <t>MF3634 - GHAYATHI CARE AND REHABILITATION CENTER FOR PEOPLE WITH SPECIAL NEEDS</t>
        </is>
      </c>
    </row>
    <row r="228">
      <c r="B228" s="22" t="inlineStr">
        <is>
          <t>MF3660 - UNIVERSITY SPECIALIST HOSPITAL</t>
        </is>
      </c>
    </row>
    <row r="229">
      <c r="B229" s="22" t="inlineStr">
        <is>
          <t>MF3340 - VISAGE POLYCLINIC - L.L.C</t>
        </is>
      </c>
    </row>
    <row r="230">
      <c r="B230" s="22" t="inlineStr">
        <is>
          <t>MF3678 - COOL SMILES DENTAL CENTER LLC</t>
        </is>
      </c>
    </row>
    <row r="231">
      <c r="B231" s="22" t="inlineStr">
        <is>
          <t>MF3689 - FOREVIVA MEDICAL CENTER LLC</t>
        </is>
      </c>
    </row>
    <row r="232">
      <c r="B232" s="22" t="inlineStr">
        <is>
          <t>MF3674 - AL WASFHA HOME HEALTH CARE</t>
        </is>
      </c>
    </row>
    <row r="233">
      <c r="B233" s="22" t="inlineStr">
        <is>
          <t>MF3653 - LIGHTED CRYSTAL MEDICAL SERVICES</t>
        </is>
      </c>
    </row>
    <row r="234">
      <c r="B234" s="22" t="inlineStr">
        <is>
          <t>MF3682 - SAADIYAT CONSTRUCTION VILLAGE CLINIC.</t>
        </is>
      </c>
    </row>
    <row r="235">
      <c r="B235" s="22" t="inlineStr">
        <is>
          <t>MF3750 - AL AIN AMERICAN HOSPITAL</t>
        </is>
      </c>
    </row>
    <row r="236">
      <c r="B236" s="22" t="inlineStr">
        <is>
          <t>MF3707 - PEARL DENTAL CENTRE</t>
        </is>
      </c>
    </row>
    <row r="237">
      <c r="B237" s="22" t="inlineStr">
        <is>
          <t>MF3709 - Dijla Medical Center L.L.C - O.P.C</t>
        </is>
      </c>
    </row>
    <row r="238">
      <c r="B238" s="22" t="inlineStr">
        <is>
          <t>MF3732 - SENIOR FOR HOME CARE CENTER</t>
        </is>
      </c>
    </row>
    <row r="239">
      <c r="B239" s="22" t="inlineStr">
        <is>
          <t>MF3728 - ALHEERA HEALH  CENTRE AND PT</t>
        </is>
      </c>
    </row>
    <row r="240">
      <c r="B240" s="22" t="inlineStr">
        <is>
          <t>MF3774 - AL RAJAA HOSPITAL</t>
        </is>
      </c>
    </row>
    <row r="241">
      <c r="B241" s="22" t="inlineStr">
        <is>
          <t>MF3734 - AL HILAL GREEN CLINIC</t>
        </is>
      </c>
    </row>
    <row r="242">
      <c r="B242" s="22" t="inlineStr">
        <is>
          <t>MF3759 - MAXIM MEDICAL CENTRE L.L.C</t>
        </is>
      </c>
    </row>
    <row r="243">
      <c r="B243" s="22" t="inlineStr">
        <is>
          <t>MF3802 - AL HOSN MEDICAL CENTRE LLC  BRANCH 1</t>
        </is>
      </c>
    </row>
    <row r="244">
      <c r="B244" s="22" t="inlineStr">
        <is>
          <t>MF3826 - BUSINESSTANBUL HEALTH CARE SERVICES L.L.C.</t>
        </is>
      </c>
    </row>
    <row r="245">
      <c r="B245" s="22" t="inlineStr">
        <is>
          <t>MF3246 - Via Medica International Healthcare L.L.C.</t>
        </is>
      </c>
    </row>
    <row r="246">
      <c r="B246" s="22" t="inlineStr">
        <is>
          <t>MF3793 - ROYAL BEAUTY MEDICAL POLYCLINIC</t>
        </is>
      </c>
    </row>
    <row r="247">
      <c r="B247" s="22" t="inlineStr">
        <is>
          <t>MF3864 - ALMANARE SPECIALIZED HOSPITAL</t>
        </is>
      </c>
    </row>
    <row r="248">
      <c r="B248" s="22" t="inlineStr">
        <is>
          <t>MF3869 - RELIABLE HOME HEALTH CARE</t>
        </is>
      </c>
    </row>
    <row r="249">
      <c r="B249" s="22" t="inlineStr">
        <is>
          <t>MF3944 - AL RAHMH HOME NURSING SERVICES -  BRANCH OF ABU DHABI 1</t>
        </is>
      </c>
    </row>
    <row r="250">
      <c r="B250" s="22" t="inlineStr">
        <is>
          <t>MF3908 - SKINOVATION DERMATOIOGY AND VENEROIOGY CLINIC LLC</t>
        </is>
      </c>
    </row>
    <row r="251">
      <c r="B251" s="22" t="inlineStr">
        <is>
          <t>MF3949 - COMMUNITY MEDICAL CENTER</t>
        </is>
      </c>
    </row>
    <row r="252">
      <c r="B252" s="22" t="inlineStr">
        <is>
          <t>MF3901 - FIRST GLOBAL CLINIC L.L.C</t>
        </is>
      </c>
    </row>
    <row r="253">
      <c r="B253" s="22" t="inlineStr">
        <is>
          <t>MF3956 - SIR BANIYAS CLINIC</t>
        </is>
      </c>
    </row>
    <row r="254">
      <c r="B254" s="22" t="inlineStr">
        <is>
          <t>MF3971 - V P S HEALTHCARE L.L.C.</t>
        </is>
      </c>
    </row>
    <row r="255">
      <c r="B255" s="22" t="inlineStr">
        <is>
          <t>MF4014 - GAMMA MEDICAL EQUIPMENT SERVICES</t>
        </is>
      </c>
    </row>
    <row r="256">
      <c r="B256" s="22" t="inlineStr">
        <is>
          <t>MF4058 - AL AMEEN MEDICAL CENTRE  L L C - BRANCH 1</t>
        </is>
      </c>
    </row>
    <row r="257">
      <c r="B257" s="22" t="inlineStr">
        <is>
          <t>MF4060 - FAMILY FRIEND HOME HEALTH CARE</t>
        </is>
      </c>
    </row>
    <row r="258">
      <c r="B258" s="22" t="inlineStr">
        <is>
          <t>MF4020 - FLORENCE MEDICAL CENTRE ONE DAY SURGERY L.L.C.</t>
        </is>
      </c>
    </row>
    <row r="259">
      <c r="B259" s="22" t="inlineStr">
        <is>
          <t>MF4013 - Multi Medical Solutions L.L.C.</t>
        </is>
      </c>
    </row>
    <row r="260">
      <c r="B260" s="22" t="inlineStr">
        <is>
          <t>MF4108 - CELLS &amp; THOUGHTS MEDICAL CENTRE L.L.C</t>
        </is>
      </c>
    </row>
    <row r="261">
      <c r="B261" s="22" t="inlineStr">
        <is>
          <t>MF4050 - EVERLAST WELLNESS MEDICAL CENTER L.L.C.</t>
        </is>
      </c>
    </row>
    <row r="262">
      <c r="B262" s="22" t="inlineStr">
        <is>
          <t>MF4074 - TORONTO MEDICAL CENTRE</t>
        </is>
      </c>
    </row>
    <row r="263">
      <c r="B263" s="22" t="inlineStr">
        <is>
          <t>MF4071 - PEARLY SMILE DENTAL CENTER LLC BRANCH 2</t>
        </is>
      </c>
    </row>
    <row r="264">
      <c r="B264" s="22" t="inlineStr">
        <is>
          <t>MF4070 - GERMAN ADVANCE MEDICAL CENTRE SOLE PROPRIETORSHIP L.L.C</t>
        </is>
      </c>
    </row>
    <row r="265">
      <c r="B265" s="22" t="inlineStr">
        <is>
          <t>MF4065 - NOOR AL HUDA HOME HEALTH CARE</t>
        </is>
      </c>
    </row>
    <row r="266">
      <c r="B266" s="22" t="inlineStr">
        <is>
          <t>MF4091 - First Response Medical Care Services LLC</t>
        </is>
      </c>
    </row>
    <row r="267">
      <c r="B267" s="22" t="inlineStr">
        <is>
          <t>MF4167 - THE HEART MEDICAL CENTER L.L.C.</t>
        </is>
      </c>
    </row>
    <row r="268">
      <c r="B268" s="22" t="inlineStr">
        <is>
          <t>MF4146 - PERFECT PHYSIOTHERAPY CENTER L.L.C</t>
        </is>
      </c>
    </row>
    <row r="269">
      <c r="B269" s="22" t="inlineStr">
        <is>
          <t xml:space="preserve">MF4191 - MACANI MEDICAL CENTER LLC </t>
        </is>
      </c>
    </row>
    <row r="270">
      <c r="B270" s="22" t="inlineStr">
        <is>
          <t>MF4550 - Alqatia Island Clinic</t>
        </is>
      </c>
    </row>
    <row r="271">
      <c r="B271" s="22" t="inlineStr">
        <is>
          <t>MF4159 - VISION DENTAL CLINIC L.L.C</t>
        </is>
      </c>
    </row>
    <row r="272">
      <c r="B272" s="22" t="inlineStr">
        <is>
          <t>MF4227 - UNITEAM MEDICAL ASSISTANCE - LLC - BRANCH 1</t>
        </is>
      </c>
    </row>
    <row r="273">
      <c r="B273" s="22" t="inlineStr">
        <is>
          <t>MF4251 - SMILE FIRST DENTAL CENTER</t>
        </is>
      </c>
    </row>
    <row r="274">
      <c r="B274" s="22" t="inlineStr">
        <is>
          <t>MF4208 - ALSULTAN ADVANCED MEDICAL CLINICS – BRANCH 1</t>
        </is>
      </c>
    </row>
    <row r="275">
      <c r="B275" s="22" t="inlineStr">
        <is>
          <t>MF4231 - GOLDEN TOUCH HEALTH SERVICES L.L.C</t>
        </is>
      </c>
    </row>
    <row r="276">
      <c r="B276" s="22" t="inlineStr">
        <is>
          <t>MF4253 - BURJEEL NEURO REHABILITATION AND PHYSIOTHERAPY CENTER L.L.C.</t>
        </is>
      </c>
    </row>
    <row r="277">
      <c r="B277" s="22" t="inlineStr">
        <is>
          <t>MF4362 - SAADIYAT MOBILE FIELD HOSPITAL</t>
        </is>
      </c>
    </row>
    <row r="278">
      <c r="B278" s="22" t="inlineStr">
        <is>
          <t>MF5003 - WELL CARE ONE DAY SURGERY CENTER L.L.C</t>
        </is>
      </c>
    </row>
    <row r="279">
      <c r="B279" s="22" t="inlineStr">
        <is>
          <t>MF4349 - STAR SERVICES - L.L.C</t>
        </is>
      </c>
    </row>
    <row r="280">
      <c r="B280" s="22" t="inlineStr">
        <is>
          <t>MF4431 - EXPERTS INTERNATIONAL RECRUITMENT SERVICES</t>
        </is>
      </c>
    </row>
    <row r="281">
      <c r="B281" s="22" t="inlineStr">
        <is>
          <t>MF4435 - BURJEEL MEDICAL CENTER AL SHAMKHA L.L.C.</t>
        </is>
      </c>
    </row>
    <row r="282">
      <c r="B282" s="22" t="inlineStr">
        <is>
          <t>MF4401 - HOLLYWOOD GLAMOUR DENTAL CENTER L.L.C</t>
        </is>
      </c>
    </row>
    <row r="283">
      <c r="B283" s="22" t="inlineStr">
        <is>
          <t>MF4538 - AL AINAWI HOME HEALTH CARE CENTER</t>
        </is>
      </c>
    </row>
    <row r="284">
      <c r="B284" s="22" t="inlineStr">
        <is>
          <t>MF4491 - AL MADAR MEDICAL CENTER L.L.C. - BRANCH 4</t>
        </is>
      </c>
    </row>
    <row r="285">
      <c r="B285" s="22" t="inlineStr">
        <is>
          <t>MF4466 - Care and Cure Center One Day Surgery LLC SPC</t>
        </is>
      </c>
    </row>
    <row r="286">
      <c r="B286" s="22" t="inlineStr">
        <is>
          <t>MF4517 - AL NOOR HOSPITAL CLINIC - HIGHER COLLEGES OF TECHNOLOGY FOR STUDENT - BRANCH 1</t>
        </is>
      </c>
    </row>
    <row r="287">
      <c r="B287" s="22" t="inlineStr">
        <is>
          <t>MF4490 - CAPITAL MEDICAL CENTRE FOR HEALTH SCREENING - L.L.C - O.P.C</t>
        </is>
      </c>
    </row>
    <row r="288">
      <c r="B288" s="22" t="inlineStr">
        <is>
          <t xml:space="preserve">MF4569 - BAB AL MADINA MEDICAL CENTER L.L.C. </t>
        </is>
      </c>
    </row>
    <row r="289">
      <c r="B289" s="22" t="inlineStr">
        <is>
          <t>MF4498 - LLH MEDICAL CENTRE AL MUSAFFAH L.L.C.</t>
        </is>
      </c>
    </row>
    <row r="290">
      <c r="B290" s="22" t="inlineStr">
        <is>
          <t>MF4549 - AYADI HOME HEALTH CARE- L.L.C - O.P.C</t>
        </is>
      </c>
    </row>
    <row r="291">
      <c r="B291" s="22" t="inlineStr">
        <is>
          <t xml:space="preserve">MF4473 - AL AIN CROMWELL MEDICAL CENTER </t>
        </is>
      </c>
    </row>
    <row r="292">
      <c r="B292" s="22" t="inlineStr">
        <is>
          <t>MF4554 - PRESTIGE HOME HEALTH CARE SERVICES</t>
        </is>
      </c>
    </row>
    <row r="293">
      <c r="B293" s="22" t="inlineStr">
        <is>
          <t>MF4695 - WESTERN TOWERS AL AHLIA MEDICAL CENTER L.L.C.</t>
        </is>
      </c>
    </row>
    <row r="294">
      <c r="B294" s="22" t="inlineStr">
        <is>
          <t>MF4576 - AHALIA AYURVEDA MEDICAL CENTER</t>
        </is>
      </c>
    </row>
    <row r="295">
      <c r="B295" s="22" t="inlineStr">
        <is>
          <t>MF4595 - CORAL DENTAL CENTER - SOLE PROPRIETORSHIP L.L.C</t>
        </is>
      </c>
    </row>
    <row r="296">
      <c r="B296" s="22" t="inlineStr">
        <is>
          <t>MF4647 - SERENA SPECIALIZED HOSPITAL - L.L.C - S.P.C</t>
        </is>
      </c>
    </row>
    <row r="297">
      <c r="B297" s="22" t="inlineStr">
        <is>
          <t>MF4621 - TAJMEEL DENTAL CENTER L.L.C. - BRANCH 7</t>
        </is>
      </c>
    </row>
    <row r="298">
      <c r="B298" s="22" t="inlineStr">
        <is>
          <t>MF4736 - SHADI INTERNATIONAL DENTAL &amp; ORTHODONTIC CENTER - BRANCH 4</t>
        </is>
      </c>
    </row>
    <row r="299">
      <c r="B299" s="22" t="inlineStr">
        <is>
          <t>MF4633 - ALSHAMEEL HEALTH CARE</t>
        </is>
      </c>
    </row>
    <row r="300">
      <c r="B300" s="22" t="inlineStr">
        <is>
          <t>MF4668 - PURE LAND SPECIALIST HOSPITAL</t>
        </is>
      </c>
    </row>
    <row r="301">
      <c r="B301" s="22" t="inlineStr">
        <is>
          <t>MF4651 - TOTAL CARE MEDICAL CENTER L.L.C.</t>
        </is>
      </c>
    </row>
    <row r="302">
      <c r="B302" s="22" t="inlineStr">
        <is>
          <t>MF4715 - UNIQUE ALAHALIA OPHTHALMOLOGY ONE DAY SURGERY MEDICAL CENTER L.L.C.</t>
        </is>
      </c>
    </row>
    <row r="303">
      <c r="B303" s="22" t="inlineStr">
        <is>
          <t>MF4658 - SUPERIOR HEALTHCARE AND AMBULANCE MANAGEMENTS - L.L.C - S.P.C</t>
        </is>
      </c>
    </row>
    <row r="304">
      <c r="B304" s="22" t="inlineStr">
        <is>
          <t xml:space="preserve">MF4707 - EMAD SAADALLA LASER COSMETIC MEDICAL CENTER </t>
        </is>
      </c>
    </row>
    <row r="305">
      <c r="B305" s="22" t="inlineStr">
        <is>
          <t>MF4341 - IRISH WELLNESS MEDICAL CENTER L.L.C</t>
        </is>
      </c>
    </row>
    <row r="306">
      <c r="B306" s="22" t="inlineStr">
        <is>
          <t>MF4713 - D F W MEDICAL CENTER L.L.C.</t>
        </is>
      </c>
    </row>
    <row r="307">
      <c r="B307" s="22" t="inlineStr">
        <is>
          <t>MF4728 - FLORENC HOME HEALTH CARE SERVICES CENTER L.L.C - BRANCH 1</t>
        </is>
      </c>
    </row>
    <row r="308">
      <c r="B308" s="22" t="inlineStr">
        <is>
          <t>MF4265 - NAYAH HOSPITAL - SOLE PROPRIETORSHIP L.L.C.</t>
        </is>
      </c>
    </row>
    <row r="309">
      <c r="B309" s="22" t="inlineStr">
        <is>
          <t>MF4884 - BURJEEL ROYAL MEDICAL CENTRE L.L.C.</t>
        </is>
      </c>
    </row>
    <row r="310">
      <c r="B310" s="22" t="inlineStr">
        <is>
          <t>MF4769 - JUMAN PEARLS DENTAL CLINIC L.L.C.</t>
        </is>
      </c>
    </row>
    <row r="311">
      <c r="B311" s="22" t="inlineStr">
        <is>
          <t>MF4885 - AL MAKAN AL AFDAL HOME HEALTH SERVICES CENTER.</t>
        </is>
      </c>
    </row>
    <row r="312">
      <c r="B312" s="22" t="inlineStr">
        <is>
          <t>MF4831 - LA VEILLIE HOME HEALTH CARE CENTER</t>
        </is>
      </c>
    </row>
    <row r="313">
      <c r="B313" s="22" t="inlineStr">
        <is>
          <t>MF4813 - HEALING TOUCH MEDICAL CENTER</t>
        </is>
      </c>
    </row>
    <row r="314">
      <c r="B314" s="22" t="inlineStr">
        <is>
          <t>MF4809 - GOLDEN SYNERGY HOME HEALTH SERVICES</t>
        </is>
      </c>
    </row>
    <row r="315">
      <c r="B315" s="22" t="inlineStr">
        <is>
          <t>MF4794 - ORANGE SPECIALITY CENTER</t>
        </is>
      </c>
    </row>
    <row r="316">
      <c r="B316" s="22" t="inlineStr">
        <is>
          <t>MF4830 - ROYAL PRIVILEGE HOME HEALTH CARE</t>
        </is>
      </c>
    </row>
    <row r="317">
      <c r="B317" s="22" t="inlineStr">
        <is>
          <t>MF4800 - ICARE HOME MEDICAL AND HEALTH CARE L.L.C</t>
        </is>
      </c>
    </row>
    <row r="318">
      <c r="B318" s="22" t="inlineStr">
        <is>
          <t>MF4855 - MOMO PHYSICAL THERAPY CENTRE</t>
        </is>
      </c>
    </row>
    <row r="319">
      <c r="B319" s="22" t="inlineStr">
        <is>
          <t>MF4841 - GREEN APPLE DENTAL CENTER L.L.C-BRANCH1</t>
        </is>
      </c>
    </row>
    <row r="320">
      <c r="B320" s="22" t="inlineStr">
        <is>
          <t>MF4992 - AMERICAN SPECIALTY HOSPITAL L.L.C</t>
        </is>
      </c>
    </row>
    <row r="321">
      <c r="B321" s="22" t="inlineStr">
        <is>
          <t>MF4897 - TRUST CARE HEALTH HOME CENTER LLC</t>
        </is>
      </c>
    </row>
    <row r="322">
      <c r="B322" s="22" t="inlineStr">
        <is>
          <t>MF4925 - HANDS OF CARE MEDICAL SERVICE</t>
        </is>
      </c>
    </row>
    <row r="323">
      <c r="B323" s="22" t="inlineStr">
        <is>
          <t>MF4995 -  GREEN POINT HOSPITAL</t>
        </is>
      </c>
    </row>
    <row r="324">
      <c r="B324" s="22" t="inlineStr">
        <is>
          <t>MF4935 - NOOR ALAHLI ONE DAY SURGERY MEDICAL CENTER</t>
        </is>
      </c>
    </row>
    <row r="325">
      <c r="B325" s="22" t="inlineStr">
        <is>
          <t>MF4916 - ALSALEEM MEDICAL CLINIC</t>
        </is>
      </c>
    </row>
    <row r="326">
      <c r="B326" s="22" t="inlineStr">
        <is>
          <t>MF4950 - HIRMAS REAL ESTATE L L C CLINIC</t>
        </is>
      </c>
    </row>
    <row r="327">
      <c r="B327" s="22" t="inlineStr">
        <is>
          <t>MF5050 - COSMI DERM MEDICAL CENTER L.L.C - O.P.C</t>
        </is>
      </c>
    </row>
    <row r="328">
      <c r="B328" s="22" t="inlineStr">
        <is>
          <t>MF5066 - ST. REGIS SAADIYAT ISLAND RESORT ABU DHABI CLINIC</t>
        </is>
      </c>
    </row>
    <row r="329">
      <c r="B329" s="22" t="inlineStr">
        <is>
          <t>MF5122 - HIGHWAY CARE CLINIC</t>
        </is>
      </c>
    </row>
    <row r="330">
      <c r="B330" s="22" t="inlineStr">
        <is>
          <t>MF5077 - RAWAFED RECRUITMENT SERVICES LLC</t>
        </is>
      </c>
    </row>
    <row r="331">
      <c r="B331" s="22" t="inlineStr">
        <is>
          <t>MF5095 - DR SAMIR SAMY FOR JAPANESE DIET CENTER - SOLE PROPRIETORSHIP L.L.C</t>
        </is>
      </c>
    </row>
    <row r="332">
      <c r="B332" s="22" t="inlineStr">
        <is>
          <t>MF3840 - EHG EMIRATES HOSPITAL DAY SURGERY  LLC</t>
        </is>
      </c>
    </row>
    <row r="333">
      <c r="B333" s="22" t="inlineStr">
        <is>
          <t>MF5121 - NOOR ALAHLI MEDICAL CENTER - BRANCH 6</t>
        </is>
      </c>
    </row>
    <row r="334">
      <c r="B334" s="22" t="inlineStr">
        <is>
          <t>MF5151 - UMM SHAIF PLATFORM CLINIC</t>
        </is>
      </c>
    </row>
    <row r="335">
      <c r="B335" s="22" t="inlineStr">
        <is>
          <t>MF5165 - TAQAT ALHAYAH TRADTIONAL CHINESE MEDICINE CENTER L.L.C.</t>
        </is>
      </c>
    </row>
    <row r="336">
      <c r="B336" s="22" t="inlineStr">
        <is>
          <t>MF5166 - SHIELD MEDICAL CENTER. L.L.C</t>
        </is>
      </c>
    </row>
    <row r="337">
      <c r="B337" s="22" t="inlineStr">
        <is>
          <t>MF5610 - N M C   MEDICAL PROFESSIONAL  TRAINING CENTRE  L.L.C.</t>
        </is>
      </c>
    </row>
    <row r="338">
      <c r="B338" s="22" t="inlineStr">
        <is>
          <t>MF5279 - MEDI ZONE MEDICAL CENTER-LLC</t>
        </is>
      </c>
    </row>
    <row r="339">
      <c r="B339" s="22" t="inlineStr">
        <is>
          <t>MF5304 - AHALIA AYURVEDA MEDICAL CENTRE</t>
        </is>
      </c>
    </row>
    <row r="340">
      <c r="B340" s="22" t="inlineStr">
        <is>
          <t>MF5228 - Marbella Speech Therapy and Rehabilitation Center - L.L.C.</t>
        </is>
      </c>
    </row>
    <row r="341">
      <c r="B341" s="22" t="inlineStr">
        <is>
          <t>MF4899 - DYNAMIC CENTER FOR PROSTHETIC DEVICES L.L.C</t>
        </is>
      </c>
    </row>
    <row r="342">
      <c r="B342" s="22" t="inlineStr">
        <is>
          <t>MF5282 - FAKIH SPECIALITY ONE DAY SURGERY CENTER L.L.C.</t>
        </is>
      </c>
    </row>
    <row r="343">
      <c r="B343" s="22" t="inlineStr">
        <is>
          <t>MF5169 - BALSAM ALRIHAN CENTER FOR INTERGRATIVE MEDICINE L.L.C.</t>
        </is>
      </c>
    </row>
    <row r="344">
      <c r="B344" s="22" t="inlineStr">
        <is>
          <t>MF5271 - TOP CARE MEDICAL CENTER - BRANCH 2</t>
        </is>
      </c>
    </row>
    <row r="345">
      <c r="B345" s="22" t="inlineStr">
        <is>
          <t xml:space="preserve">MF5244 - GREEN CENTRAL REGIME WEIGHT </t>
        </is>
      </c>
    </row>
    <row r="346">
      <c r="B346" s="22" t="inlineStr">
        <is>
          <t>MF5256 - NOOR AL SHEFAA MEDICAL CENTER</t>
        </is>
      </c>
    </row>
    <row r="347">
      <c r="B347" s="22" t="inlineStr">
        <is>
          <t>MF5260 - EMAD SAADALLA MEDICAL CENTER LLC</t>
        </is>
      </c>
    </row>
    <row r="348">
      <c r="B348" s="22" t="inlineStr">
        <is>
          <t>MF5291 - L A NATIONAL MOBILE MEDICAL CLINIC L.L.C</t>
        </is>
      </c>
    </row>
    <row r="349">
      <c r="B349" s="22" t="inlineStr">
        <is>
          <t>MF4192 - AL SADARA CENTER FOR CARE AND REHABILITATION PEOPLE OF DETERMATION -SOLE PROPRIETORSHIP L.L.C</t>
        </is>
      </c>
    </row>
    <row r="350">
      <c r="B350" s="22" t="inlineStr">
        <is>
          <t>MF5323 - DR RASHED AL SHAEEL MEDICAL CENTER L.L.C</t>
        </is>
      </c>
    </row>
    <row r="351">
      <c r="B351" s="22" t="inlineStr">
        <is>
          <t>MF5321 - AFAQ RECRUITMENT &amp; MANPOWER SUPPLY SERVICES</t>
        </is>
      </c>
    </row>
    <row r="352">
      <c r="B352" s="22" t="inlineStr">
        <is>
          <t>MF4374 - SELECTION MEDICAL SERVICES</t>
        </is>
      </c>
    </row>
    <row r="353">
      <c r="B353" s="22" t="inlineStr">
        <is>
          <t>MF5357 - NEW LOOK MEDICAL CENTER - SOLE PROPRIETORSHIP L.L.C. - BRANCH</t>
        </is>
      </c>
    </row>
    <row r="354">
      <c r="B354" s="22" t="inlineStr">
        <is>
          <t>MF5368 - KIDNEY HEALTH DIALYSIS CENTER L.L.C</t>
        </is>
      </c>
    </row>
    <row r="355">
      <c r="B355" s="22" t="inlineStr">
        <is>
          <t>MF5386 - JONIOR MEDICAL CENTER FOR REHABLITATION</t>
        </is>
      </c>
    </row>
    <row r="356">
      <c r="B356" s="22" t="inlineStr">
        <is>
          <t>MF5385 - BEVERLY HILLS AESTHETICA MEDICAL CENTER L.L.C.</t>
        </is>
      </c>
    </row>
    <row r="357">
      <c r="B357" s="22" t="inlineStr">
        <is>
          <t>MF5383 - ALYAZIA MEDICAL CARE</t>
        </is>
      </c>
    </row>
    <row r="358">
      <c r="B358" s="22" t="inlineStr">
        <is>
          <t>MF5433 - ROYAL HEALTH HEART CENTER L L C</t>
        </is>
      </c>
    </row>
    <row r="359">
      <c r="B359" s="22" t="inlineStr">
        <is>
          <t>MF5411 - LUGANO HOME HEALTH CARE CENTER</t>
        </is>
      </c>
    </row>
    <row r="360">
      <c r="B360" s="22" t="inlineStr">
        <is>
          <t>MF5182 - ALSAHRA RECRUITMENT SERVICES</t>
        </is>
      </c>
    </row>
    <row r="361">
      <c r="B361" s="22" t="inlineStr">
        <is>
          <t>MF5419 - CENTURION MEDICAL FACILITIES MANAGEMENT GROUP L.L.C.</t>
        </is>
      </c>
    </row>
    <row r="362">
      <c r="B362" s="22" t="inlineStr">
        <is>
          <t>MF5451 - WIDEX AUDIOLOGY CENTRE</t>
        </is>
      </c>
    </row>
    <row r="363">
      <c r="B363" s="22" t="inlineStr">
        <is>
          <t>MF5430 - CHC MEDICAL CLINIC - SOLE PROPRIETORSHIP L.L.C</t>
        </is>
      </c>
    </row>
    <row r="364">
      <c r="B364" s="22" t="inlineStr">
        <is>
          <t>MF5438 - ONE TOUCH MEDICAL CENTER L.L.C</t>
        </is>
      </c>
    </row>
    <row r="365">
      <c r="B365" s="22" t="inlineStr">
        <is>
          <t>MF5452 - ALSHAM MEDICAL CENTER-SOLE PROPRIETORSHIP L.L.C</t>
        </is>
      </c>
    </row>
    <row r="366">
      <c r="B366" s="22" t="inlineStr">
        <is>
          <t>MF5218 - ALPHA DATA RECRUITMENT</t>
        </is>
      </c>
    </row>
    <row r="367">
      <c r="B367" s="22" t="inlineStr">
        <is>
          <t>MF5489 - LUMINA MEDICAL CENTER - SOLE PROPRIETORSHIP L.L.C.</t>
        </is>
      </c>
    </row>
    <row r="368">
      <c r="B368" s="22" t="inlineStr">
        <is>
          <t>MF5504 - RIVAL REHABILITATION CENTER L.L.C S.P.C</t>
        </is>
      </c>
    </row>
    <row r="369">
      <c r="B369" s="22" t="inlineStr">
        <is>
          <t>MF5490 - VIP DOCTOR 247 DMCC ABU DHABI</t>
        </is>
      </c>
    </row>
    <row r="370">
      <c r="B370" s="22" t="inlineStr">
        <is>
          <t xml:space="preserve">MF5524 - RADAIM MEDICAL CENTER </t>
        </is>
      </c>
    </row>
    <row r="371">
      <c r="B371" s="22" t="inlineStr">
        <is>
          <t>MF5542 - Via medica mobile health clinic L.L.C.</t>
        </is>
      </c>
    </row>
    <row r="372">
      <c r="B372" s="22" t="inlineStr">
        <is>
          <t>MF5513 - SPARKLE CARE AND MEDICAL SERVICES</t>
        </is>
      </c>
    </row>
    <row r="373">
      <c r="B373" s="22" t="inlineStr">
        <is>
          <t>MF3917 - DEW DERM AESTHETIC CENTER L.L.C</t>
        </is>
      </c>
    </row>
    <row r="374">
      <c r="B374" s="22" t="inlineStr">
        <is>
          <t>MF5517 - LOUVRE CLINIC MEDICAL CENTER</t>
        </is>
      </c>
    </row>
    <row r="375">
      <c r="B375" s="22" t="inlineStr">
        <is>
          <t>MF5614 - MANAYEF HOSPITAL</t>
        </is>
      </c>
    </row>
    <row r="376">
      <c r="B376" s="22" t="inlineStr">
        <is>
          <t>MF5576 - CUBICS MEDICAL &amp; TECHNICAL SUPPLIES L.L.C.</t>
        </is>
      </c>
    </row>
    <row r="377">
      <c r="B377" s="22" t="inlineStr">
        <is>
          <t>MF5391 - BEST CHOICE HOME HEALTH CARE LLC</t>
        </is>
      </c>
    </row>
    <row r="378">
      <c r="B378" s="22" t="inlineStr">
        <is>
          <t>MF4983 - LUMIERE SKIN CLINIC L.L.C. - BRANCH DEERFIELDS MALL</t>
        </is>
      </c>
    </row>
    <row r="379">
      <c r="B379" s="22" t="inlineStr">
        <is>
          <t>MF5613 - BLUE OCEAN MEDICAL CENTER - SOLE PROPRIETORSHIP L.L.C.</t>
        </is>
      </c>
    </row>
    <row r="380">
      <c r="B380" s="22" t="inlineStr">
        <is>
          <t>MF5443 - LUMIERE PLATINUM SKIN CLINIC CENTER L.L.C.</t>
        </is>
      </c>
    </row>
    <row r="381">
      <c r="B381" s="22" t="inlineStr">
        <is>
          <t>MF5639 - ADVANCE AMBULANCE SERVICES- L.L.C-S.P.C</t>
        </is>
      </c>
    </row>
    <row r="382">
      <c r="B382" s="22" t="inlineStr">
        <is>
          <t>MF4488 - AL QABAS EMPLOYMENT - SOLE PROPRIETORSHIP L.L.C.</t>
        </is>
      </c>
    </row>
    <row r="383">
      <c r="B383" s="22" t="inlineStr">
        <is>
          <t>MF5694 - CAPITAL MEDICAL CENTRE FOR HEALTH SCREENING - L.L.C - AL DANAH BRANCH</t>
        </is>
      </c>
    </row>
    <row r="384">
      <c r="B384" s="22" t="inlineStr">
        <is>
          <t>MF5703 - NASER MOHAMED AL-BADDAH &amp; PARTNER FOR GENERAL CONTRACTING COMPANY CLINIC</t>
        </is>
      </c>
    </row>
    <row r="385">
      <c r="B385" s="22" t="inlineStr">
        <is>
          <t>MF5731 - AL BAHRI DENTAL AND ORTHODONTIC CENTER - L.L.C - S.P.C - BRANCH</t>
        </is>
      </c>
    </row>
    <row r="386">
      <c r="B386" s="22" t="inlineStr">
        <is>
          <t>MF5739 - SAMA ALMOSTAKBAL MEDICAL COMPLEX.</t>
        </is>
      </c>
    </row>
    <row r="387">
      <c r="B387" s="22" t="inlineStr">
        <is>
          <t>MF2366 - AL AREEJ DENTAL CENTER -L.L.C</t>
        </is>
      </c>
    </row>
    <row r="388">
      <c r="B388" s="22" t="inlineStr">
        <is>
          <t>MF7023 - Alnokhba medical center</t>
        </is>
      </c>
    </row>
    <row r="389">
      <c r="B389" s="22" t="inlineStr">
        <is>
          <t>MF7025 - Yas Clinic Emirate Palace Sole Proprietorship LLC</t>
        </is>
      </c>
    </row>
    <row r="390">
      <c r="B390" s="22" t="inlineStr">
        <is>
          <t>MF7024 - PROVIDENCE MEDICAL SERVICES L.L.C</t>
        </is>
      </c>
    </row>
    <row r="391">
      <c r="B391" s="22" t="inlineStr">
        <is>
          <t>MF7061 - LYCEE FRANCAIS INTERNATIONAL THEODORE MONOD . L.L.C. - BRANCH</t>
        </is>
      </c>
    </row>
    <row r="392">
      <c r="B392" s="22" t="inlineStr">
        <is>
          <t>MF7069 - ALBEDDA MEDICAL POLYCLINICS - L.L.C</t>
        </is>
      </c>
    </row>
    <row r="393">
      <c r="B393" s="22" t="inlineStr">
        <is>
          <t>MF7129 - ALNOKHBA REHABILITATION &amp; GERIATRIC HOSPITAL</t>
        </is>
      </c>
    </row>
    <row r="394">
      <c r="B394" s="22" t="inlineStr">
        <is>
          <t>MF7134 - Emirates General Transport and Services Company</t>
        </is>
      </c>
    </row>
    <row r="395">
      <c r="B395" s="22" t="inlineStr">
        <is>
          <t>MF7135 - Tolerance Schools Al Khaznah</t>
        </is>
      </c>
    </row>
    <row r="396">
      <c r="B396" s="22" t="inlineStr">
        <is>
          <t>MF7156 - RIVOLI EYE ZONE (BRANCH OF MAGRABI OPTICAL COMPANY (L.L.C) – BRANCH OF ABUDHABI – Forsan Central Mall</t>
        </is>
      </c>
    </row>
    <row r="397">
      <c r="B397" s="22" t="inlineStr">
        <is>
          <t>MF7159 - KING AND QUEEN NURSERY LLC CLINIC</t>
        </is>
      </c>
    </row>
    <row r="398">
      <c r="B398" s="22" t="inlineStr">
        <is>
          <t>MF7193 - MEDICLINIC HOSPITALS L.L.C (CLINICS) - BRANCH</t>
        </is>
      </c>
    </row>
    <row r="399">
      <c r="B399" s="22" t="inlineStr">
        <is>
          <t xml:space="preserve">MF7195 - MEDICLINIC REEM MALL </t>
        </is>
      </c>
    </row>
    <row r="400">
      <c r="B400" s="22" t="inlineStr">
        <is>
          <t>MF7200 - PURECARE MEDICAL CENTRE - L.L.C - O.P.C</t>
        </is>
      </c>
    </row>
    <row r="401">
      <c r="B401" s="22" t="inlineStr">
        <is>
          <t>MF7217 - VIA MEDICA MOBILE HEALTH CLINIC L.L.C.-BRANCH</t>
        </is>
      </c>
    </row>
    <row r="402">
      <c r="B402" s="22" t="inlineStr">
        <is>
          <t>MF7262 - Hussam Hospital</t>
        </is>
      </c>
    </row>
    <row r="403">
      <c r="B403" s="22" t="inlineStr">
        <is>
          <t>MF7263 - JERN YAFOOR SCHOOL - SOLE PROPRIETORSHIP L.L.C.</t>
        </is>
      </c>
    </row>
    <row r="404">
      <c r="B404" s="22" t="inlineStr">
        <is>
          <t>MF7278 - L M A MEDICAL CENTER L.L.C</t>
        </is>
      </c>
    </row>
    <row r="405">
      <c r="B405" s="22" t="inlineStr">
        <is>
          <t>MF7285 - ULTRALASIK EYE CLINIC - L.L.C. - S.P.C</t>
        </is>
      </c>
    </row>
    <row r="406">
      <c r="B406" s="22" t="inlineStr">
        <is>
          <t>MF7118 - SANIMED INTERNATIONAL LAB AND MANAGEMENT  L.L.C.</t>
        </is>
      </c>
    </row>
    <row r="407">
      <c r="B407" s="22" t="inlineStr">
        <is>
          <t>MF7306 - AL AMTHAL OCCUPATIONAL MEDICINE L.L.C</t>
        </is>
      </c>
    </row>
    <row r="408">
      <c r="B408" s="22" t="inlineStr">
        <is>
          <t>MF7292 - AL MUSHRIF KINDERGARTEN CLINIC - SOLE PROPRIETORSHIP L.L.C</t>
        </is>
      </c>
    </row>
    <row r="409">
      <c r="B409" s="22" t="inlineStr">
        <is>
          <t>MF5090 - NEW LOOK MEDICAL CENTER - SOLE PROPRIETORSHIP L.L.C. - BRANCH</t>
        </is>
      </c>
    </row>
    <row r="410">
      <c r="B410" s="22" t="inlineStr">
        <is>
          <t>MF7318 - AL MASAOOD AMBULANCE SERVICES COMPANY  - SOLE PROPRIETORSHIP L.L.C.</t>
        </is>
      </c>
    </row>
    <row r="411">
      <c r="B411" s="22" t="inlineStr">
        <is>
          <t>MF7322 - BUSAN COSMETICS MEDICAL PLASTIC SURGERY - L.L.C - S.P.C</t>
        </is>
      </c>
    </row>
    <row r="412">
      <c r="B412" s="22" t="inlineStr">
        <is>
          <t>MF1937 - CANADIAN MEDICAL CENTER SOLE PROPRIETORSHIP LLC</t>
        </is>
      </c>
    </row>
    <row r="413">
      <c r="B413" s="22" t="inlineStr">
        <is>
          <t>MF2218 - FIRST MEDICAL CENTER L.L.C.</t>
        </is>
      </c>
    </row>
    <row r="414">
      <c r="B414" s="22" t="inlineStr">
        <is>
          <t>MF7339 - COREIGNS SYSTEMS DENTAL LABORATORY</t>
        </is>
      </c>
    </row>
    <row r="415">
      <c r="B415" s="22" t="inlineStr">
        <is>
          <t>MF7161 - MY SMILE MEDICAL CENTER - L.L.C - S.P.C</t>
        </is>
      </c>
    </row>
    <row r="416">
      <c r="B416" s="22" t="inlineStr">
        <is>
          <t>MF7366 - Al Bateen KG Clinic</t>
        </is>
      </c>
    </row>
    <row r="417">
      <c r="B417" s="22" t="inlineStr">
        <is>
          <t>MF7376 - Al Nahdha KG clinic</t>
        </is>
      </c>
    </row>
    <row r="418">
      <c r="B418" s="22" t="inlineStr">
        <is>
          <t>MF7378 - Al Baheya Common School Clinic 1</t>
        </is>
      </c>
    </row>
    <row r="419">
      <c r="B419" s="22" t="inlineStr">
        <is>
          <t>MF7377 - Al Nahdha KG &amp; C1 School Clinic</t>
        </is>
      </c>
    </row>
    <row r="420">
      <c r="B420" s="22" t="inlineStr">
        <is>
          <t>MF4764 - GULF INTERNATIONAL MEDICAL SERVICES L.L.C.</t>
        </is>
      </c>
    </row>
    <row r="421">
      <c r="B421" s="22" t="inlineStr">
        <is>
          <t>MF7402 - DNA WELLNESS MEDICAL COMPLEX - L.L.C - O.P.C</t>
        </is>
      </c>
    </row>
    <row r="422">
      <c r="B422" s="22" t="inlineStr">
        <is>
          <t>MF7420 - NATIONAL REHABILITATION CENTER -ALDANNAH BRANCH</t>
        </is>
      </c>
    </row>
    <row r="423">
      <c r="B423" s="22" t="inlineStr">
        <is>
          <t>MF7430 - Global Care Hospital - Sole Proprietorship LLC</t>
        </is>
      </c>
    </row>
    <row r="424">
      <c r="B424" s="22" t="inlineStr">
        <is>
          <t>MF7305 - TRUDOC HEALTH CARE LLC - BRANCH OF ABU DHABI 1</t>
        </is>
      </c>
    </row>
    <row r="425">
      <c r="B425" s="22" t="inlineStr">
        <is>
          <t>MF7437 - Al Jaheli Institute of Science and Technology-Boys Clinic-Al Ain</t>
        </is>
      </c>
    </row>
    <row r="426">
      <c r="B426" s="22" t="inlineStr">
        <is>
          <t>MF7445 - AD-186</t>
        </is>
      </c>
    </row>
    <row r="427">
      <c r="B427" s="22" t="inlineStr">
        <is>
          <t>MF7457 - AD-184</t>
        </is>
      </c>
    </row>
    <row r="428">
      <c r="B428" s="22" t="inlineStr">
        <is>
          <t>MF7471 - CLINIC DR DRAY L.L.C</t>
        </is>
      </c>
    </row>
    <row r="429">
      <c r="B429" s="22" t="inlineStr">
        <is>
          <t>MF7479 - ELITECARE MEDICAL CENTRE-SOLE PROPRIETORSHIP LLC</t>
        </is>
      </c>
    </row>
    <row r="430">
      <c r="B430" s="22" t="inlineStr">
        <is>
          <t>MF7484 - Morani Orthodontic Center &amp; General Medical - L.L.C. - Branch</t>
        </is>
      </c>
    </row>
    <row r="431">
      <c r="B431" s="22" t="inlineStr">
        <is>
          <t>MF2068 - Kaya Beauty clinic-sole proprietorship L.L.C</t>
        </is>
      </c>
    </row>
    <row r="432">
      <c r="B432" s="22" t="inlineStr">
        <is>
          <t>MF7524 - AL AHD SCHOOL - SOLE PROPRIETORSHIP L.L.C.</t>
        </is>
      </c>
    </row>
    <row r="433">
      <c r="B433" s="22" t="inlineStr">
        <is>
          <t>MF7530 - NATURE BELLS NATURAL CARE CENTER L.L.C</t>
        </is>
      </c>
    </row>
    <row r="434">
      <c r="B434" s="22" t="inlineStr">
        <is>
          <t>MF7532 - PHOENIX DENTAL LABORATORY - L.L.C - O.P.C</t>
        </is>
      </c>
    </row>
    <row r="435">
      <c r="B435" s="22" t="inlineStr">
        <is>
          <t>MF7537 - ALLEANZA HEALTHCARE  L.L.C.</t>
        </is>
      </c>
    </row>
    <row r="436">
      <c r="B436" s="22" t="inlineStr">
        <is>
          <t>MF7552 - I SEE BY ALJABER BR OF ALJABER OPTICAL CENTRE LLC - BRANCH OF ABU DHABI 34</t>
        </is>
      </c>
    </row>
    <row r="437">
      <c r="B437" s="22" t="inlineStr">
        <is>
          <t>MF7556 - LENSKART OPTICAL TRADING L.L.C - BRANCH OF ABU DHABI 2</t>
        </is>
      </c>
    </row>
    <row r="438">
      <c r="B438" s="22" t="inlineStr">
        <is>
          <t>MF7562 - UNIVERSAL PHILIPPINE SCHOOL -L.L.C - S.P.C</t>
        </is>
      </c>
    </row>
    <row r="439">
      <c r="B439" s="22" t="inlineStr">
        <is>
          <t>MF3608 - BEVERLY HILLS SPECIALIST HOSPITAL-SOLE PROPRIETORSHIP L.L.C</t>
        </is>
      </c>
    </row>
    <row r="440">
      <c r="B440" s="22" t="inlineStr">
        <is>
          <t>MF5009 - NAZEK MEDICAL CENTER - SOLE PROPRIETORSHIP L.L.C.</t>
        </is>
      </c>
    </row>
    <row r="441">
      <c r="B441" s="22" t="inlineStr">
        <is>
          <t>MF3881 - LOTUS HOLISTIC ALTERNATIVE MEDICAL CENTER - BRANCH 1</t>
        </is>
      </c>
    </row>
    <row r="442">
      <c r="B442" s="22" t="inlineStr">
        <is>
          <t>MF7580 - ALHAYAH  SPECIALLITY CENTER - L.L.C - O.P.C</t>
        </is>
      </c>
    </row>
    <row r="443">
      <c r="B443" s="22" t="inlineStr">
        <is>
          <t>MF7581 - AL MAJD SCHOOL CLINIC - SOLE PROPRIETORSHIP L.L.C</t>
        </is>
      </c>
    </row>
    <row r="444">
      <c r="B444" s="22" t="inlineStr">
        <is>
          <t>MF7583 - ALLPOINT HEALTHCARE CENTER - SOLE PROPRIETORSHIP L.L.C</t>
        </is>
      </c>
    </row>
    <row r="445">
      <c r="B445" s="22" t="inlineStr">
        <is>
          <t>MF7290 - TOP LEVEL MEDICAL CENTER L.L.C.</t>
        </is>
      </c>
    </row>
    <row r="446">
      <c r="B446" s="22" t="inlineStr">
        <is>
          <t>MF7622 - AL AIN FERTILITY CENTER - GENETIC DIAGNOSIS &amp; ASSISTED REPRODUCTIVE TECHNIQUES L.L.C. - BRANCH</t>
        </is>
      </c>
    </row>
    <row r="447">
      <c r="B447" s="22" t="inlineStr">
        <is>
          <t>MF7636 - POLARIS DENTAL LABORATORY TEETH MANUFACTURING  - SOLE PROPRIETORSHIP L.L.C.</t>
        </is>
      </c>
    </row>
    <row r="448">
      <c r="B448" s="22" t="inlineStr">
        <is>
          <t>MF7641 - AL DHAFRA PRIVATE NURSERY</t>
        </is>
      </c>
    </row>
    <row r="449">
      <c r="B449" s="22" t="inlineStr">
        <is>
          <t>MF7644 - SMILE ART DENTAL AND ORTHODONTIC   L.L.C.</t>
        </is>
      </c>
    </row>
    <row r="450">
      <c r="B450" s="22" t="inlineStr">
        <is>
          <t>MF7646 - LIMBS CARE PHOSTHETICS AND ORTHOTICS CENTER L.L.C.</t>
        </is>
      </c>
    </row>
    <row r="451">
      <c r="B451" s="22" t="inlineStr">
        <is>
          <t>MF7647 - AD - 167</t>
        </is>
      </c>
    </row>
    <row r="452">
      <c r="B452" s="22" t="inlineStr">
        <is>
          <t>MF304 - GOLDEN CURE MEDICAL CENTRE - SOLE PROPRIETORSHIP L.L.C</t>
        </is>
      </c>
    </row>
    <row r="453">
      <c r="B453" s="22" t="inlineStr">
        <is>
          <t>MF7109 - ROYAL CROWN DENTAL CENTER L.L.C</t>
        </is>
      </c>
    </row>
    <row r="454">
      <c r="B454" s="22" t="inlineStr">
        <is>
          <t>MF7671 - AD - 188</t>
        </is>
      </c>
    </row>
    <row r="455">
      <c r="B455" s="22" t="inlineStr">
        <is>
          <t>MF7688 - LE JOUE BEAUTY CLINIC</t>
        </is>
      </c>
    </row>
    <row r="456">
      <c r="B456" s="22" t="inlineStr">
        <is>
          <t>MF7692 - AL BAYRAQ SCHOOL - SOLE PROPRIETORSHIP L.L.C.</t>
        </is>
      </c>
    </row>
    <row r="457">
      <c r="B457" s="22" t="inlineStr">
        <is>
          <t>MF7694 - HARMONIC DENTAL LABORATORY L.L.C. - BRANCH</t>
        </is>
      </c>
    </row>
    <row r="458">
      <c r="B458" s="22" t="inlineStr">
        <is>
          <t>MF7699 - Allianz Installer Clinic</t>
        </is>
      </c>
    </row>
    <row r="459">
      <c r="B459" s="22" t="inlineStr">
        <is>
          <t>MF7709 - SOPHISTIQUE DENTAL LABORATORY - L.L.C - S.P.C</t>
        </is>
      </c>
    </row>
    <row r="460">
      <c r="B460" s="22" t="inlineStr">
        <is>
          <t>MF4788 - AL BUSTAN MEDICAL CENTER PLUS L.L.C.</t>
        </is>
      </c>
    </row>
    <row r="461">
      <c r="B461" s="22" t="inlineStr">
        <is>
          <t>MF7451 - DR MOHAMED MUNIR DENTAL CENTRE - L.L.C</t>
        </is>
      </c>
    </row>
    <row r="462">
      <c r="B462" s="22" t="inlineStr">
        <is>
          <t>MF7653 - AD - 181</t>
        </is>
      </c>
    </row>
    <row r="463">
      <c r="B463" s="22" t="inlineStr">
        <is>
          <t>MF7736 - STYLEKA FOR DERMATOLOGY AND COSMETOLOGY CLINIC - SOLE PROPRIETORSHIP L.L.C.</t>
        </is>
      </c>
    </row>
    <row r="464">
      <c r="B464" s="22" t="inlineStr">
        <is>
          <t>MF7748 - ADNOC Dental Clinic</t>
        </is>
      </c>
    </row>
    <row r="465">
      <c r="B465" s="22" t="inlineStr">
        <is>
          <t>MF7609 - CHERIE CLINIC MEDICAL CENTER - L.L.C - O.P.C</t>
        </is>
      </c>
    </row>
    <row r="466">
      <c r="B466" s="22" t="inlineStr">
        <is>
          <t>MF7570 - SKLD MANPOWER SERVICE - SOLE PROPRIETORSHIP L.L.C.</t>
        </is>
      </c>
    </row>
    <row r="467">
      <c r="B467" s="22" t="inlineStr">
        <is>
          <t>MF7418 - ASTER OPTICALS LLC - BRANCH OF ABU DHABI 2</t>
        </is>
      </c>
    </row>
    <row r="468">
      <c r="B468" s="22" t="inlineStr">
        <is>
          <t>MF7335 - HANOVER BNT MEDICAL SERVICES. SOLE PROPRIETORSHIP L.L.C.</t>
        </is>
      </c>
    </row>
    <row r="469">
      <c r="B469" s="22" t="inlineStr">
        <is>
          <t>MF7767 - Counselling Medical Center</t>
        </is>
      </c>
    </row>
    <row r="470">
      <c r="B470" s="22" t="inlineStr">
        <is>
          <t>MF7791 - IRIS OPTICAL - SOLE PROPRIETORSHIP L.L.C. - BRANCH</t>
        </is>
      </c>
    </row>
    <row r="471">
      <c r="B471" s="22" t="inlineStr">
        <is>
          <t>MF7800 - GEVORA DENTAL LAB - L.L.C - O.P.C</t>
        </is>
      </c>
    </row>
    <row r="472">
      <c r="B472" s="22" t="inlineStr">
        <is>
          <t>MF7809 - AD-189</t>
        </is>
      </c>
    </row>
    <row r="473">
      <c r="B473" s="22" t="inlineStr">
        <is>
          <t>MF3078 - DISABLED CUSTODIAL CARE CENTER ( DCCC)</t>
        </is>
      </c>
    </row>
    <row r="474">
      <c r="B474" s="22" t="inlineStr">
        <is>
          <t>MF7826 - BLOOM NURSERIES BLOOM GARDENS - SOLE PROPRIETORSHIP L.L.C.</t>
        </is>
      </c>
    </row>
    <row r="475">
      <c r="B475" s="22" t="inlineStr">
        <is>
          <t>MF7495 - HIGH LAND LABOR CAMP MANAGEMENT - L L C</t>
        </is>
      </c>
    </row>
    <row r="476">
      <c r="B476" s="22" t="inlineStr">
        <is>
          <t>MF7845 - DENTEX DENTAL LAB - L.L.C</t>
        </is>
      </c>
    </row>
    <row r="477">
      <c r="B477" s="22" t="inlineStr">
        <is>
          <t xml:space="preserve">MF7650 - AD-164 </t>
        </is>
      </c>
    </row>
    <row r="478">
      <c r="B478" s="22" t="inlineStr">
        <is>
          <t>MF94 - MAGRABI EYE AND EAR CENTER DAYCARE SURGERIES - L.L.C - O.P.C</t>
        </is>
      </c>
    </row>
    <row r="479">
      <c r="B479" s="22" t="inlineStr">
        <is>
          <t>MF7861 - LLH AL RAZEEN CLINIC - L.L.C</t>
        </is>
      </c>
    </row>
    <row r="480">
      <c r="B480" s="22" t="inlineStr">
        <is>
          <t>MF7864 - AD-172</t>
        </is>
      </c>
    </row>
    <row r="481">
      <c r="B481" s="22" t="inlineStr">
        <is>
          <t>MF7879 - SERENITY HEALTHCARE MEDICAL FACILITIES MANAGEMENT - SOLE PROPRIETORSHIP L.L.C.</t>
        </is>
      </c>
    </row>
    <row r="482">
      <c r="B482" s="22" t="inlineStr">
        <is>
          <t>MF7882 - LAYAN NATURAL CARE WELLNESS CENTRE   - L.L.C</t>
        </is>
      </c>
    </row>
    <row r="483">
      <c r="B483" s="22" t="inlineStr">
        <is>
          <t>MF7886 - HAMDAN BIN ZAYED School Clinic 2 (C2 AND 3)</t>
        </is>
      </c>
    </row>
    <row r="484">
      <c r="B484" s="22" t="inlineStr">
        <is>
          <t>MF363 - SMILE GUIDE DENTAL LABORATORY - L.L.C - O.P.C</t>
        </is>
      </c>
    </row>
    <row r="485">
      <c r="B485" s="22" t="inlineStr">
        <is>
          <t>MF7904 - ABU DHABI PORTS MEDICAL STORE - SOLE PROPRIETORSHIP L.L.C.</t>
        </is>
      </c>
    </row>
    <row r="486">
      <c r="B486" s="22" t="inlineStr">
        <is>
          <t>MF7914 - BIOCELL CLINIC - L.L.C</t>
        </is>
      </c>
    </row>
    <row r="487">
      <c r="B487" s="22" t="inlineStr">
        <is>
          <t>MF7916 - HEALTH PLUS FAMILY HEALTH CENTER  L.L.C. - BRANCH</t>
        </is>
      </c>
    </row>
    <row r="488">
      <c r="B488" s="22" t="inlineStr">
        <is>
          <t>MF7925 - AL AMIN OPTICALS LLC - BRANCH OF ABU DHABI 1</t>
        </is>
      </c>
    </row>
    <row r="489">
      <c r="B489" s="22" t="inlineStr">
        <is>
          <t>MF283 - CONTINENTAL DENTAL CENTER - L.L.C</t>
        </is>
      </c>
    </row>
    <row r="490">
      <c r="B490" s="22" t="inlineStr">
        <is>
          <t>MF7706 - DISEASE PREVENTION AND SCREENING CENTRE- ALWAHDA MALL</t>
        </is>
      </c>
    </row>
    <row r="491">
      <c r="B491" s="22" t="inlineStr">
        <is>
          <t>MF2070 - AL MANAL DENTAL CENTER - L.L.C - O.P.C</t>
        </is>
      </c>
    </row>
    <row r="492">
      <c r="B492" s="22" t="inlineStr">
        <is>
          <t>MF7961 - HOSPITALITY CATERING L LC</t>
        </is>
      </c>
    </row>
    <row r="493">
      <c r="B493" s="22" t="inlineStr">
        <is>
          <t>MF7656 - PRANA PSYCHOLOGY PSYCHOLOGICAL AND BEHAVIORAL THERAPY - SOLE PROPRIETORSHIP L.L.C.</t>
        </is>
      </c>
    </row>
    <row r="494">
      <c r="B494" s="22" t="inlineStr">
        <is>
          <t>MF7979 - AL GHAD NURSERIES - AL SHAMKHA1 - L.L.C - O.P.C</t>
        </is>
      </c>
    </row>
    <row r="495">
      <c r="B495" s="22" t="inlineStr">
        <is>
          <t>MF7981 - Al Dhaher School Clinic – Sole Proprietorship L L C</t>
        </is>
      </c>
    </row>
    <row r="496">
      <c r="B496" s="22" t="inlineStr">
        <is>
          <t>MF3958 - AL ZHOOR MEDICAL CENTER - L.L.C - O.P.C</t>
        </is>
      </c>
    </row>
    <row r="497">
      <c r="B497" s="22" t="inlineStr">
        <is>
          <t>MF7997 - BLUE TULIP CLINIC - L.L.C - O.P.C</t>
        </is>
      </c>
    </row>
    <row r="498">
      <c r="B498" s="22" t="inlineStr">
        <is>
          <t>MF8009 - GREATWALL DRILLING COMPANY - ABU DHABI</t>
        </is>
      </c>
    </row>
    <row r="499">
      <c r="B499" s="22" t="inlineStr">
        <is>
          <t>MF3665 - MEDICLINIC HOSPITALS - BANIYAS CLINICS</t>
        </is>
      </c>
    </row>
    <row r="500">
      <c r="B500" s="22" t="inlineStr">
        <is>
          <t>MF7621 - THE FIRST MEDICAL SOLUTIONS - SOLE PROPRIETORSHIP L.L.C.</t>
        </is>
      </c>
    </row>
    <row r="501">
      <c r="B501" s="22" t="inlineStr">
        <is>
          <t>MF4851 - NOOR ALAHLI MEDICAL CENTER - BRANCH 2</t>
        </is>
      </c>
    </row>
    <row r="502">
      <c r="B502" s="22" t="inlineStr">
        <is>
          <t>MF7973 - AD-220</t>
        </is>
      </c>
    </row>
    <row r="503">
      <c r="B503" s="22" t="inlineStr">
        <is>
          <t>MF7942 - OPTICREA LUXURY VISION  OPTICAL - L.L.C - O.P.C</t>
        </is>
      </c>
    </row>
    <row r="504">
      <c r="B504" s="22" t="inlineStr">
        <is>
          <t>MF8068 - ALDAR MAISON HOME HEALTH CARE - L.L.C - S.P.C</t>
        </is>
      </c>
    </row>
    <row r="505">
      <c r="B505" s="22" t="inlineStr">
        <is>
          <t>MF8109 - AL-GHAITH TRAINING REHABILITATION CENTER  - SOLE PROPRIETORSHIP L.L.C.</t>
        </is>
      </c>
    </row>
    <row r="506">
      <c r="B506" s="22" t="inlineStr">
        <is>
          <t xml:space="preserve">MF8079 - AD-238 Clinic </t>
        </is>
      </c>
    </row>
    <row r="507">
      <c r="B507" s="22" t="inlineStr">
        <is>
          <t>MF8044 - SAN FRANCISCO  AESTHETIC MEDICAL CENTER    - L.L.C</t>
        </is>
      </c>
    </row>
    <row r="508">
      <c r="B508" s="22" t="inlineStr">
        <is>
          <t>MF8207 - AL GHAD NURSERIES - AL MAQAM 1 - L.L.C - S.P.C</t>
        </is>
      </c>
    </row>
    <row r="509">
      <c r="B509" s="22" t="inlineStr">
        <is>
          <t>MF8122 - AYURA AYURVEDIC HEALTH CARE - L.L.C - S.P.C</t>
        </is>
      </c>
    </row>
    <row r="510">
      <c r="B510" s="22" t="inlineStr">
        <is>
          <t>MF8125 - LIFECARE CLINIC  L.L.C. - BRANCH</t>
        </is>
      </c>
    </row>
    <row r="511">
      <c r="B511" s="22" t="inlineStr">
        <is>
          <t xml:space="preserve">MF8174
 - S.J. ABED GENERAL ENTERPRISES LTD -  ABU DHABI
</t>
        </is>
      </c>
    </row>
    <row r="512">
      <c r="B512" s="22" t="inlineStr">
        <is>
          <t>MF8290 - Ministry of Defence court Clinic</t>
        </is>
      </c>
    </row>
    <row r="513">
      <c r="B513" s="22" t="inlineStr">
        <is>
          <t>MF5412 - AL HAKIM HEARING AND SPEAKING L.L.C.</t>
        </is>
      </c>
    </row>
    <row r="514">
      <c r="B514" s="22" t="inlineStr">
        <is>
          <t>MF8108 - THE DEVELOPING CHILD CENTRE L.LC - BRANCH OF ABU DHABI</t>
        </is>
      </c>
    </row>
    <row r="515">
      <c r="B515" s="22" t="inlineStr">
        <is>
          <t>MF8175 - LAVIE  CLINIC - L.L.C</t>
        </is>
      </c>
    </row>
    <row r="516">
      <c r="B516" s="22" t="inlineStr">
        <is>
          <t>MF8192 - MIRAJ GENERAL TRANSPORTING</t>
        </is>
      </c>
    </row>
    <row r="517">
      <c r="B517" s="22" t="inlineStr">
        <is>
          <t>MF8484 - ENFIELD ROYAL CLINIC L.L.C - BRANCH OF ABU DHABI</t>
        </is>
      </c>
    </row>
    <row r="518">
      <c r="B518" s="22" t="inlineStr">
        <is>
          <t>MF8504 - Al Shamkhah City School Clinic 1</t>
        </is>
      </c>
    </row>
    <row r="519">
      <c r="B519" s="22" t="inlineStr">
        <is>
          <t>MF8508 - Madinat Al Riyad Schools C2&amp; C3 Girls Clinic 2</t>
        </is>
      </c>
    </row>
    <row r="520">
      <c r="B520" s="22" t="inlineStr">
        <is>
          <t>MF8544 - AL FURAT DENTAL CLINIC  - L.L.C - S.P.C</t>
        </is>
      </c>
    </row>
    <row r="521">
      <c r="B521" s="22" t="inlineStr">
        <is>
          <t>MF8583 - PEARL HERITAGE SCHOOL - L.L.C</t>
        </is>
      </c>
    </row>
    <row r="522">
      <c r="B522" s="22" t="inlineStr">
        <is>
          <t>MF8600 - DANAT BAINUNA CATERING SERVICES  L.L.C.</t>
        </is>
      </c>
    </row>
    <row r="523">
      <c r="B523" s="22" t="inlineStr">
        <is>
          <t>MF8602 - S.J. ABED GENERAL ENTERPRISES LTD -  ABU DHABI</t>
        </is>
      </c>
    </row>
    <row r="524">
      <c r="B524" s="22" t="inlineStr">
        <is>
          <t>MF3282 - DUBLIN INVESTMENT AND MANAGEMENT OF HEALTH SERVICES - SOLE PROPRIETORSHIP L.L.C.</t>
        </is>
      </c>
    </row>
    <row r="525">
      <c r="B525" s="22" t="inlineStr">
        <is>
          <t>MF4347 - CLINICS - MEDICLINIC HOSPITALS - L.L.C - O.P.C ( AL BAWADI )</t>
        </is>
      </c>
    </row>
    <row r="526">
      <c r="B526" s="22" t="inlineStr">
        <is>
          <t>MF2274 - SILKOR COSMETIC CENTER TREATMENT OF DERMATOLOG - L.L.C</t>
        </is>
      </c>
    </row>
    <row r="527">
      <c r="B527" s="22" t="inlineStr">
        <is>
          <t>MF5117 - MARJAN MEDICAL CENTER - L.L.C - S.P.C</t>
        </is>
      </c>
    </row>
    <row r="528">
      <c r="B528" s="22" t="inlineStr">
        <is>
          <t>MF898 - ZENITH DENTAL CLINIC</t>
        </is>
      </c>
    </row>
    <row r="529">
      <c r="B529" s="22" t="inlineStr">
        <is>
          <t>MF2247 - WASHINGTON CHILDRENS SPECIALIST HOSPITAL</t>
        </is>
      </c>
    </row>
    <row r="530">
      <c r="B530" s="22" t="inlineStr">
        <is>
          <t>MF1566 - WELL CARE MEDICAL CENTER L.L.C</t>
        </is>
      </c>
    </row>
    <row r="531">
      <c r="B531" s="22" t="inlineStr">
        <is>
          <t>MF2239 - WHITE GLOW DENTAL CENTER</t>
        </is>
      </c>
    </row>
    <row r="532">
      <c r="B532" s="22" t="inlineStr">
        <is>
          <t>MF2466 - ABU DHABI SPINE CENTER LLC</t>
        </is>
      </c>
    </row>
    <row r="533">
      <c r="B533" s="22" t="inlineStr">
        <is>
          <t>MF2299 - VENUS DENTAL LABORATORY - SOLE PROPRIETORSHIP L.L.C.</t>
        </is>
      </c>
    </row>
    <row r="534">
      <c r="B534" s="22" t="inlineStr">
        <is>
          <t>MF700 - SUN MEDICAL CENTER  . L.L.C.</t>
        </is>
      </c>
    </row>
    <row r="535">
      <c r="B535" s="22" t="inlineStr">
        <is>
          <t>MF470 - SYLVIE CLINIC</t>
        </is>
      </c>
    </row>
    <row r="536">
      <c r="B536" s="22" t="inlineStr">
        <is>
          <t>MF2273 - TAMREED HEALTH CARE SERVICES</t>
        </is>
      </c>
    </row>
    <row r="537">
      <c r="B537" s="22" t="inlineStr">
        <is>
          <t>MF1903 - SPECIALIZED DENTAL AND ORTHODONTIC CENTER - SOLE PROPRIETORSHIP L.L.C.</t>
        </is>
      </c>
    </row>
    <row r="538">
      <c r="B538" s="22" t="inlineStr">
        <is>
          <t>MF2265 - SAMA ABU DHABI HOME HEALTH CARE CENTRE</t>
        </is>
      </c>
    </row>
    <row r="539">
      <c r="B539" s="22" t="inlineStr">
        <is>
          <t>MF2045 - AL SAMHA HEALTHCARE CENTER</t>
        </is>
      </c>
    </row>
    <row r="540">
      <c r="B540" s="22" t="inlineStr">
        <is>
          <t>MF2363 - REEM ISLAND MEDICAL COMPLEX</t>
        </is>
      </c>
    </row>
    <row r="541">
      <c r="B541" s="22" t="inlineStr">
        <is>
          <t>MF790 - REGIONAL MEDICAL CENTRE</t>
        </is>
      </c>
    </row>
    <row r="542">
      <c r="B542" s="22" t="inlineStr">
        <is>
          <t>MF2193 - OCEAN DENTAL AND ORTHODONTIC CENTER L.L.C</t>
        </is>
      </c>
    </row>
    <row r="543">
      <c r="B543" s="22" t="inlineStr">
        <is>
          <t>MF924 - NEW NATIONAL MEDICAL CENTRE-LLC</t>
        </is>
      </c>
    </row>
    <row r="544">
      <c r="B544" s="22" t="inlineStr">
        <is>
          <t>MF2385 - Al Mushrif Healthcare Center</t>
        </is>
      </c>
    </row>
    <row r="545">
      <c r="B545" s="22" t="inlineStr">
        <is>
          <t>MF1133 - MIDDLE EAST SPECIALIZED MEDICAL CENTRE L.L.C</t>
        </is>
      </c>
    </row>
    <row r="546">
      <c r="B546" s="22" t="inlineStr">
        <is>
          <t>MF870 - MODERN DOCTORS CENTRE L.L.C.</t>
        </is>
      </c>
    </row>
    <row r="547">
      <c r="B547" s="22" t="inlineStr">
        <is>
          <t>MF2174 - MAZNA MEDICAL CENTRE</t>
        </is>
      </c>
    </row>
    <row r="548">
      <c r="B548" s="22" t="inlineStr">
        <is>
          <t>MF964 - KOTTAKKAL ALTERNATIVE MEDICAL CENTRE</t>
        </is>
      </c>
    </row>
    <row r="549">
      <c r="B549" s="22" t="inlineStr">
        <is>
          <t>MF2038 - LIWA HOSPITAL</t>
        </is>
      </c>
    </row>
    <row r="550">
      <c r="B550" s="22" t="inlineStr">
        <is>
          <t>MF2442 - Kaya skin care clinic - Branch sole proprietorship L.L.C</t>
        </is>
      </c>
    </row>
    <row r="551">
      <c r="B551" s="22" t="inlineStr">
        <is>
          <t>MF2376 - KHALIDIYA URGENT CARE CENTER</t>
        </is>
      </c>
    </row>
    <row r="552">
      <c r="B552" s="22" t="inlineStr">
        <is>
          <t>MF2077 - K K T ORTHOPEDIC  SPINE CENTER - SOLE PROPRIETORSHIP L.L.C.</t>
        </is>
      </c>
    </row>
    <row r="553">
      <c r="B553" s="22" t="inlineStr">
        <is>
          <t>MF1880 - IBN AL HYTHEM SPECIALIZED HOSPITAL</t>
        </is>
      </c>
    </row>
    <row r="554">
      <c r="B554" s="22" t="inlineStr">
        <is>
          <t>MF1892 - IBN KHALDOON MEDICAL CENTRE</t>
        </is>
      </c>
    </row>
    <row r="555">
      <c r="B555" s="22" t="inlineStr">
        <is>
          <t>MF1382 - HILI PHYSIOTHERAPY CENTRE</t>
        </is>
      </c>
    </row>
    <row r="556">
      <c r="B556" s="22" t="inlineStr">
        <is>
          <t>MF2512 - GULF TECHNICAL &amp; SAFETY TRAINING CENTRE-LLC.</t>
        </is>
      </c>
    </row>
    <row r="557">
      <c r="B557" s="22" t="inlineStr">
        <is>
          <t>MF2325 - HALA BABY CARE CLINIC LLC</t>
        </is>
      </c>
    </row>
    <row r="558">
      <c r="B558" s="22" t="inlineStr">
        <is>
          <t>MF1785 - The American Surgecenter L.L.C</t>
        </is>
      </c>
    </row>
    <row r="559">
      <c r="B559" s="22" t="inlineStr">
        <is>
          <t>MF492 - EYE CLINIC</t>
        </is>
      </c>
    </row>
    <row r="560">
      <c r="B560" s="22" t="inlineStr">
        <is>
          <t>MF568 - FAMILY CLINIC</t>
        </is>
      </c>
    </row>
    <row r="561">
      <c r="B561" s="22" t="inlineStr">
        <is>
          <t>MF1839 - FAR EAST AL TERNATIVE MEDICINE CENTRE</t>
        </is>
      </c>
    </row>
    <row r="562">
      <c r="B562" s="22" t="inlineStr">
        <is>
          <t>MF59 - FREEDOM MEDICAL POLY CLINIC L.L.C</t>
        </is>
      </c>
    </row>
    <row r="563">
      <c r="B563" s="22" t="inlineStr">
        <is>
          <t>MF1984 - EMIRATES STEEL INDUSTRIES CO. P.J.S (EMIRATES STEEL)</t>
        </is>
      </c>
    </row>
    <row r="564">
      <c r="B564" s="22" t="inlineStr">
        <is>
          <t>MF1141 - ELAJ MEDICAL CENTRE L.L.C</t>
        </is>
      </c>
    </row>
    <row r="565">
      <c r="B565" s="22" t="inlineStr">
        <is>
          <t>MF10 - DR.ABDUL SAMAD MEDICAL CLINIC</t>
        </is>
      </c>
    </row>
    <row r="566">
      <c r="B566" s="22" t="inlineStr">
        <is>
          <t>MF326 - DR. MAHER AYOUB CLINIC</t>
        </is>
      </c>
    </row>
    <row r="567">
      <c r="B567" s="22" t="inlineStr">
        <is>
          <t>MF256 - DR. GHALEB NAZZAL CLINIC</t>
        </is>
      </c>
    </row>
    <row r="568">
      <c r="B568" s="22" t="inlineStr">
        <is>
          <t>MF266 - DR GUPTA MEDICAL CENTER - L.L.C - S.P.C</t>
        </is>
      </c>
    </row>
    <row r="569">
      <c r="B569" s="22" t="inlineStr">
        <is>
          <t>MF1889 - DERMA BEAUTY &amp; LASER MEDICAL CLINIC</t>
        </is>
      </c>
    </row>
    <row r="570">
      <c r="B570" s="22" t="inlineStr">
        <is>
          <t>MF1402 - DAWN MEDICAL CENTRE</t>
        </is>
      </c>
    </row>
    <row r="571">
      <c r="B571" s="22" t="inlineStr">
        <is>
          <t>MF2337 - CITY HOSPITAL</t>
        </is>
      </c>
    </row>
    <row r="572">
      <c r="B572" s="22" t="inlineStr">
        <is>
          <t>MF197 - CENTRAL MEDICAL  CLINIC</t>
        </is>
      </c>
    </row>
    <row r="573">
      <c r="B573" s="22" t="inlineStr">
        <is>
          <t>MF135 - BEKING MEDICAL CLINIC</t>
        </is>
      </c>
    </row>
    <row r="574">
      <c r="B574" s="22" t="inlineStr">
        <is>
          <t>MF184 - BADIE RADIO OPTICAL &amp; QUICK PHOTO SERV.</t>
        </is>
      </c>
    </row>
    <row r="575">
      <c r="B575" s="22" t="inlineStr">
        <is>
          <t>MF172 - AREEN AL ASHBAL SCHOOL</t>
        </is>
      </c>
    </row>
    <row r="576">
      <c r="B576" s="22" t="inlineStr">
        <is>
          <t>MF2496 - ARGO MANAGEMENT SOLUTIONS- LLC</t>
        </is>
      </c>
    </row>
    <row r="577">
      <c r="B577" s="22" t="inlineStr">
        <is>
          <t>MF174 - ARZANA POLYCLINIC</t>
        </is>
      </c>
    </row>
    <row r="578">
      <c r="B578" s="22" t="inlineStr">
        <is>
          <t>MF2307 - AURORA MEDICAL SUITE</t>
        </is>
      </c>
    </row>
    <row r="579">
      <c r="B579" s="22" t="inlineStr">
        <is>
          <t>MF1742 - ALQUMMA SLECILIZED EYE HOSPITAL</t>
        </is>
      </c>
    </row>
    <row r="580">
      <c r="B580" s="22" t="inlineStr">
        <is>
          <t>MF1506 - ALBAITAR SPECILIZED MEDICAL CLINIC</t>
        </is>
      </c>
    </row>
    <row r="581">
      <c r="B581" s="22" t="inlineStr">
        <is>
          <t>MF1419 - ALDIYAR  MEDICAL CLINIC</t>
        </is>
      </c>
    </row>
    <row r="582">
      <c r="B582" s="22" t="inlineStr">
        <is>
          <t>MF583 - AL SALAMA CLINIC - L L C</t>
        </is>
      </c>
    </row>
    <row r="583">
      <c r="B583" s="22" t="inlineStr">
        <is>
          <t>MF132 - GEMS MEDICAL CLINIC - L.L.C - S.P.C</t>
        </is>
      </c>
    </row>
    <row r="584">
      <c r="B584" s="22" t="inlineStr">
        <is>
          <t>MF2323 - AL RAHA INTERNATIONAL HOSPITAL</t>
        </is>
      </c>
    </row>
    <row r="585">
      <c r="B585" s="22" t="inlineStr">
        <is>
          <t>MF971 - AL NEELAIN SPECIALIZED MEDICAL CLINIC</t>
        </is>
      </c>
    </row>
    <row r="586">
      <c r="B586" s="22" t="inlineStr">
        <is>
          <t>MF2431 - AL MAZROUI MEDICAL CLINIC</t>
        </is>
      </c>
    </row>
    <row r="587">
      <c r="B587" s="22" t="inlineStr">
        <is>
          <t>MF2484 - AL LEWAA MEDICAL CENTER</t>
        </is>
      </c>
    </row>
    <row r="588">
      <c r="B588" s="22" t="inlineStr">
        <is>
          <t>MF1355 - AL- JAZEERA  OPTICALS</t>
        </is>
      </c>
    </row>
    <row r="589">
      <c r="B589" s="22" t="inlineStr">
        <is>
          <t>MF1176 - AL DHAFRA DENTAL SPECIALIZED CLINIC</t>
        </is>
      </c>
    </row>
    <row r="590">
      <c r="B590" s="22" t="inlineStr">
        <is>
          <t>MF1417 - AL DHEYAA REHABILITATION CENTRE</t>
        </is>
      </c>
    </row>
    <row r="591">
      <c r="B591" s="22" t="inlineStr">
        <is>
          <t>MF61 - AL DOHA CLINIC</t>
        </is>
      </c>
    </row>
    <row r="592">
      <c r="B592" s="22" t="inlineStr">
        <is>
          <t>MF2343 - AL AIN OASIS DENTAL CLINIC - L.L.C - S.P.C</t>
        </is>
      </c>
    </row>
    <row r="593">
      <c r="B593" s="22" t="inlineStr">
        <is>
          <t>MF1246 - ABU DHABI PSYCHIATRIC CLINIC</t>
        </is>
      </c>
    </row>
    <row r="594">
      <c r="B594" s="22" t="inlineStr">
        <is>
          <t>MF1497 - ADNOC Onshore Medical Centre</t>
        </is>
      </c>
    </row>
    <row r="595">
      <c r="B595" s="22" t="inlineStr">
        <is>
          <t>MF1989 - ADVANCE CURE DIAGNOSTIC CENTRE L.L.C</t>
        </is>
      </c>
    </row>
    <row r="596">
      <c r="B596" s="22" t="inlineStr">
        <is>
          <t>MF1339 - AL-  SAMER MODERN DENTAL CLINIC</t>
        </is>
      </c>
    </row>
    <row r="597">
      <c r="B597" s="22" t="inlineStr">
        <is>
          <t>MF2590 - AL EMARAT ORTHOPAEDIC &amp; SPORTS MEDICINE CENTRE L.L.C</t>
        </is>
      </c>
    </row>
    <row r="598">
      <c r="B598" s="22" t="inlineStr">
        <is>
          <t>MF2586 - ROMANIAN MEDICAL CLINIC</t>
        </is>
      </c>
    </row>
    <row r="599">
      <c r="B599" s="22" t="inlineStr">
        <is>
          <t>MF2524 - TAWAM REHABILITATION CENTER</t>
        </is>
      </c>
    </row>
    <row r="600">
      <c r="B600" s="22" t="inlineStr">
        <is>
          <t>MF2946 - AL SHAWAMEKH SPECIALISED HOSPITAL</t>
        </is>
      </c>
    </row>
    <row r="601">
      <c r="B601" s="22" t="inlineStr">
        <is>
          <t>MF2544 - WESTERN TOWERS AL AHLIA HOSPITAL L.L.C</t>
        </is>
      </c>
    </row>
    <row r="602">
      <c r="B602" s="22" t="inlineStr">
        <is>
          <t>MF2937 - ALAHLI ADVANCED SPICIAL HOSPITAL</t>
        </is>
      </c>
    </row>
    <row r="603">
      <c r="B603" s="22" t="inlineStr">
        <is>
          <t>MF2532 - UNIQUE CARE WELL MEDICAL CENTRE L.L.C</t>
        </is>
      </c>
    </row>
    <row r="604">
      <c r="B604" s="22" t="inlineStr">
        <is>
          <t>MF3022 - AL AIN MEDICAL CENTER FOR PEOPLE WITH SPECIAL NEEDS</t>
        </is>
      </c>
    </row>
    <row r="605">
      <c r="B605" s="22" t="inlineStr">
        <is>
          <t>MF3056 - CAPITAL MEDICAL CENTRE FOR HEALTH SCREENING - SOLE PROPRIETORSHIP LLC</t>
        </is>
      </c>
    </row>
    <row r="606">
      <c r="B606" s="22" t="inlineStr">
        <is>
          <t>MF3021 - EVEREST DENTAL LABORATORY</t>
        </is>
      </c>
    </row>
    <row r="607">
      <c r="B607" s="22" t="inlineStr">
        <is>
          <t>MF3072 - National Ambulance - Sole Proprietorship LLC</t>
        </is>
      </c>
    </row>
    <row r="608">
      <c r="B608" s="22" t="inlineStr">
        <is>
          <t>MF3124 - UAE UNIVERSITY CLINICS -FEMALE NEW CAMPUS CLINIC</t>
        </is>
      </c>
    </row>
    <row r="609">
      <c r="B609" s="22" t="inlineStr">
        <is>
          <t>MF1026 - APOLLO MEDICAL CENTRE - SOLE PROPRIETORSHIP L.L.C</t>
        </is>
      </c>
    </row>
    <row r="610">
      <c r="B610" s="22" t="inlineStr">
        <is>
          <t>MF3163 - Kaya Beauty clinic- Branch1 sole proprietorship L.L.C</t>
        </is>
      </c>
    </row>
    <row r="611">
      <c r="B611" s="22" t="inlineStr">
        <is>
          <t>MF3169 - VAMED EMIRATES - LLC</t>
        </is>
      </c>
    </row>
    <row r="612">
      <c r="B612" s="22" t="inlineStr">
        <is>
          <t>MF2506 - ULTRA CARE CENTER ONE DAY SURGERY</t>
        </is>
      </c>
    </row>
    <row r="613">
      <c r="B613" s="22" t="inlineStr">
        <is>
          <t>MF2059 - AL AIN DENTAL CENTER</t>
        </is>
      </c>
    </row>
    <row r="614">
      <c r="B614" s="22" t="inlineStr">
        <is>
          <t>MF1798 - HOME HEALTH MEDICAL CENTRE - L L C</t>
        </is>
      </c>
    </row>
    <row r="615">
      <c r="B615" s="22" t="inlineStr">
        <is>
          <t>MF2428 - HEALTH TECH MEDICAL CENTER</t>
        </is>
      </c>
    </row>
    <row r="616">
      <c r="B616" s="22" t="inlineStr">
        <is>
          <t>MF2508 - EMIRATES SAMA INTERNATIONAL HOSPITAL</t>
        </is>
      </c>
    </row>
    <row r="617">
      <c r="B617" s="22" t="inlineStr">
        <is>
          <t>MF474 - DR.TALAL KHOURI CLINIC</t>
        </is>
      </c>
    </row>
    <row r="618">
      <c r="B618" s="22" t="inlineStr">
        <is>
          <t>MF1773 - DR. ALJUNDI ORTHODONTIC AND DENTAL CENTER  L.L.C.</t>
        </is>
      </c>
    </row>
    <row r="619">
      <c r="B619" s="22" t="inlineStr">
        <is>
          <t>MF2062 - DISEASE PREVENTION AND SCREENING CENTER</t>
        </is>
      </c>
    </row>
    <row r="620">
      <c r="B620" s="22" t="inlineStr">
        <is>
          <t>MF1101 - AWSAF MEDICAL CENTRE</t>
        </is>
      </c>
    </row>
    <row r="621">
      <c r="B621" s="22" t="inlineStr">
        <is>
          <t>MF2391 - AL LULU ISLAND CLINIC</t>
        </is>
      </c>
    </row>
    <row r="622">
      <c r="B622" s="22" t="inlineStr">
        <is>
          <t>MF2083 - AL AIN PRIMARY HEALTH CARE</t>
        </is>
      </c>
    </row>
    <row r="623">
      <c r="B623" s="22" t="inlineStr">
        <is>
          <t>MF2998 - MEDICAL CLINIC OF AL JABER ESTABLISHMENT - SWEHAN BRANCH</t>
        </is>
      </c>
    </row>
    <row r="624">
      <c r="B624" s="22" t="inlineStr">
        <is>
          <t>MF3008 - PROFESSIONAL HEALTH CONSULTANCY</t>
        </is>
      </c>
    </row>
    <row r="625">
      <c r="B625" s="22" t="inlineStr">
        <is>
          <t>MF2935 - VENECIA HOME NURSING AND REHABILITATION L.L.C.</t>
        </is>
      </c>
    </row>
    <row r="626">
      <c r="B626" s="22" t="inlineStr">
        <is>
          <t>MF2961 - COSMESURGE &amp; EMIRATES HOSPITAL ONE DAY SURGERY -  Fertility Center</t>
        </is>
      </c>
    </row>
    <row r="627">
      <c r="B627" s="22" t="inlineStr">
        <is>
          <t>MF3040 - Medical Center - Ministry of Interior - Ministry Office</t>
        </is>
      </c>
    </row>
    <row r="628">
      <c r="B628" s="22" t="inlineStr">
        <is>
          <t>MF3111 - Tashafi Health Care &amp; Medical Serveces L.L.C</t>
        </is>
      </c>
    </row>
    <row r="629">
      <c r="B629" s="22" t="inlineStr">
        <is>
          <t>MF3140 - YAS MOBILE FIELD HOSPITAL BY SEHA</t>
        </is>
      </c>
    </row>
    <row r="630">
      <c r="B630" s="22" t="inlineStr">
        <is>
          <t>MF91 - AL KHAZNA MEDICAL CENTER</t>
        </is>
      </c>
    </row>
    <row r="631">
      <c r="B631" s="22" t="inlineStr">
        <is>
          <t>MF3152 - AL NOOR HOSPITAL MEDICAL CLINIC - BUTINAH</t>
        </is>
      </c>
    </row>
    <row r="632">
      <c r="B632" s="22" t="inlineStr">
        <is>
          <t>MF3182 - ALGHARBEYA MEDICAL SERVICES</t>
        </is>
      </c>
    </row>
    <row r="633">
      <c r="B633" s="22" t="inlineStr">
        <is>
          <t>MF3202 - SEHA DIALYSIS SERVICES – SHEIKH KHALIFA MEDICAL CITY</t>
        </is>
      </c>
    </row>
    <row r="634">
      <c r="B634" s="22" t="inlineStr">
        <is>
          <t>MF3239 - MAZAYA MEDICAL SERVICES L.L.C.</t>
        </is>
      </c>
    </row>
    <row r="635">
      <c r="B635" s="22" t="inlineStr">
        <is>
          <t>MF3278 - NEW MEDICAL IVF CENTRE L.L.C</t>
        </is>
      </c>
    </row>
    <row r="636">
      <c r="B636" s="22" t="inlineStr">
        <is>
          <t>MF3289 - ARABIAN CONSTRUCTION COMPANY CLINIC - WLL_3</t>
        </is>
      </c>
    </row>
    <row r="637">
      <c r="B637" s="22" t="inlineStr">
        <is>
          <t>MF3295 - CRYSTAL MEDICAL SERVICES</t>
        </is>
      </c>
    </row>
    <row r="638">
      <c r="B638" s="22" t="inlineStr">
        <is>
          <t>MF3298 - TOP EMIRATES MEDICAL CENTER</t>
        </is>
      </c>
    </row>
    <row r="639">
      <c r="B639" s="22" t="inlineStr">
        <is>
          <t>MF2422 - AL NOOR HOSPITAL CLINIC - HIGHER COLLEGES OF TECHNOLOGY FOR STUDENT</t>
        </is>
      </c>
    </row>
    <row r="640">
      <c r="B640" s="22" t="inlineStr">
        <is>
          <t>MF274 - DR.MOHAMED SALIM CLINIC</t>
        </is>
      </c>
    </row>
    <row r="641">
      <c r="B641" s="22" t="inlineStr">
        <is>
          <t>MF1151 - AL KHAJA MEDICAL CENTER  L.L.C.</t>
        </is>
      </c>
    </row>
    <row r="642">
      <c r="B642" s="22" t="inlineStr">
        <is>
          <t>MF900 - AL- LULU DENTAL CLINIC</t>
        </is>
      </c>
    </row>
    <row r="643">
      <c r="B643" s="22" t="inlineStr">
        <is>
          <t>MF68 - HEALTHLINE MEDICAL CENTER L. L. C.</t>
        </is>
      </c>
    </row>
    <row r="644">
      <c r="B644" s="22" t="inlineStr">
        <is>
          <t>MF3143 - Galaxy Dental Center LLC</t>
        </is>
      </c>
    </row>
    <row r="645">
      <c r="B645" s="22" t="inlineStr">
        <is>
          <t>MF3316 - ALNAJAH DENTAL LABORATORY L.L.C</t>
        </is>
      </c>
    </row>
    <row r="646">
      <c r="B646" s="22" t="inlineStr">
        <is>
          <t>MF617 - SPECTRUM MEDICAL CENTRE - SOLE PROPRIETORSHIP L.L.C.</t>
        </is>
      </c>
    </row>
    <row r="647">
      <c r="B647" s="22" t="inlineStr">
        <is>
          <t>MF696 - AL WATHBA NEW MEDICAL CENTRE</t>
        </is>
      </c>
    </row>
    <row r="648">
      <c r="B648" s="22" t="inlineStr">
        <is>
          <t>MF26 - IDEAL MEDICAL CENTRE - L L C</t>
        </is>
      </c>
    </row>
    <row r="649">
      <c r="B649" s="22" t="inlineStr">
        <is>
          <t>MF961 - EXPERT MEDICAL CENTER FOR MEDICAL AND DENTAL - L.L.C - S.P.C</t>
        </is>
      </c>
    </row>
    <row r="650">
      <c r="B650" s="22" t="inlineStr">
        <is>
          <t>MF2515 - AL SHAHAMA AMBULATORY HEALTHCARE CENTRE</t>
        </is>
      </c>
    </row>
    <row r="651">
      <c r="B651" s="22" t="inlineStr">
        <is>
          <t>MF1518 - AL DIWAN DENTAL CENTRE L.L.C.</t>
        </is>
      </c>
    </row>
    <row r="652">
      <c r="B652" s="22" t="inlineStr">
        <is>
          <t>MF2553 - HARMONY PLUS MEDICAL CENTER LLC</t>
        </is>
      </c>
    </row>
    <row r="653">
      <c r="B653" s="22" t="inlineStr">
        <is>
          <t>MF3009 - HEALTHWAY MEDICAL CENTER - SOLE PROPRIETORSHIP L.L.C</t>
        </is>
      </c>
    </row>
    <row r="654">
      <c r="B654" s="22" t="inlineStr">
        <is>
          <t>MF1413 - ZIA MEDICAL CENTRE - L.L.C - S.P.C</t>
        </is>
      </c>
    </row>
    <row r="655">
      <c r="B655" s="22" t="inlineStr">
        <is>
          <t>MF1951 - NMC FAMILY MEDICAL CENTER L.L.C.</t>
        </is>
      </c>
    </row>
    <row r="656">
      <c r="B656" s="22" t="inlineStr">
        <is>
          <t>MF1942 - GULF PEARL DENTAL AND MEDICAL CENTER L.L.C</t>
        </is>
      </c>
    </row>
    <row r="657">
      <c r="B657" s="22" t="inlineStr">
        <is>
          <t>MF152 - AL WATHBA MEDICAL CENTRE</t>
        </is>
      </c>
    </row>
    <row r="658">
      <c r="B658" s="22" t="inlineStr">
        <is>
          <t>MF1786 - AL QUDS SPECIALIZED DENTAL CENTER</t>
        </is>
      </c>
    </row>
    <row r="659">
      <c r="B659" s="22" t="inlineStr">
        <is>
          <t>MF2027 - Al Khatim HealthCare Center</t>
        </is>
      </c>
    </row>
    <row r="660">
      <c r="B660" s="22" t="inlineStr">
        <is>
          <t>MF2092 - Al Khazna HealthCare Center</t>
        </is>
      </c>
    </row>
    <row r="661">
      <c r="B661" s="22" t="inlineStr">
        <is>
          <t>MF83 - AL JAWHARA DENTAL CLINIC</t>
        </is>
      </c>
    </row>
    <row r="662">
      <c r="B662" s="22" t="inlineStr">
        <is>
          <t>MF75 - LLH MEDICAL CENTRE AL AIN - L.L.C</t>
        </is>
      </c>
    </row>
    <row r="663">
      <c r="B663" s="22" t="inlineStr">
        <is>
          <t>MF1973 - AL AIN ALAHILI MEDICAL CENTRE - L.L.C - S.P.C</t>
        </is>
      </c>
    </row>
    <row r="664">
      <c r="B664" s="22" t="inlineStr">
        <is>
          <t>MF2975 - GULF GERMAN SPECIALIZED HOSPITAL</t>
        </is>
      </c>
    </row>
    <row r="665">
      <c r="B665" s="22" t="inlineStr">
        <is>
          <t>MF2981 - THE SPECIALIST DIABETES TREATMENT &amp; RESEARCH CENTRE (IMPERIAL COLLEGE LONDON DIABETES &amp; ENDOCRINE CENTRE) - L.L.C - S.P.C - BRANCH</t>
        </is>
      </c>
    </row>
    <row r="666">
      <c r="B666" s="22" t="inlineStr">
        <is>
          <t>MF2575 - ALAMAN MEDICAL CENTER</t>
        </is>
      </c>
    </row>
    <row r="667">
      <c r="B667" s="22" t="inlineStr">
        <is>
          <t>MF3088 - ALTAQWA HOME HEALTH CARE</t>
        </is>
      </c>
    </row>
    <row r="668">
      <c r="B668" s="22" t="inlineStr">
        <is>
          <t>MF3074 - AQUAE SULIS DERMATOLOGY CLINIC - LLC</t>
        </is>
      </c>
    </row>
    <row r="669">
      <c r="B669" s="22" t="inlineStr">
        <is>
          <t>MF3130 - EMIRATES TECHNICAL &amp; SAFETY DEVELOPMENT CENTRE L L C</t>
        </is>
      </c>
    </row>
    <row r="670">
      <c r="B670" s="22" t="inlineStr">
        <is>
          <t>MF3073 - Venecia Medical Center for Rehabilitation L.L.C</t>
        </is>
      </c>
    </row>
    <row r="671">
      <c r="B671" s="22" t="inlineStr">
        <is>
          <t>MF3159 - MEZYAD MEDICAL CENTER</t>
        </is>
      </c>
    </row>
    <row r="672">
      <c r="B672" s="22" t="inlineStr">
        <is>
          <t>MF3208 - SEHA KIDNEY CARE - MADINAT ZAYED HOSPITAL</t>
        </is>
      </c>
    </row>
    <row r="673">
      <c r="B673" s="22" t="inlineStr">
        <is>
          <t>MF3235 - Weatherford Manufacturing &amp; Services L.L.C - Branch Clinic</t>
        </is>
      </c>
    </row>
    <row r="674">
      <c r="B674" s="22" t="inlineStr">
        <is>
          <t>MF3328 - KHALIFA CITY B AMBULATORY HEALTHCARE CENTRE</t>
        </is>
      </c>
    </row>
    <row r="675">
      <c r="B675" s="22" t="inlineStr">
        <is>
          <t>MF542 - ADEL ABDULLAH CLINIC</t>
        </is>
      </c>
    </row>
    <row r="676">
      <c r="B676" s="22" t="inlineStr">
        <is>
          <t>MF3501 - Mubarak Medical Center - Sole Proprietorship L.L.C. - Branch</t>
        </is>
      </c>
    </row>
    <row r="677">
      <c r="B677" s="22" t="inlineStr">
        <is>
          <t>MF3339 - SAFE CARE HEALTH SERVICES LLC</t>
        </is>
      </c>
    </row>
    <row r="678">
      <c r="B678" s="22" t="inlineStr">
        <is>
          <t>MF3553 - MERCIFUL HANDS HOME HEALTH CARE L.L.C.</t>
        </is>
      </c>
    </row>
    <row r="679">
      <c r="B679" s="22" t="inlineStr">
        <is>
          <t>MF3739 - SMILE LINE DENTAL CENTER  L.L.C.</t>
        </is>
      </c>
    </row>
    <row r="680">
      <c r="B680" s="22" t="inlineStr">
        <is>
          <t>MF3647 - AL EKHLAS HOSPITAL</t>
        </is>
      </c>
    </row>
    <row r="681">
      <c r="B681" s="22" t="inlineStr">
        <is>
          <t>MF3580 - BARBARA ORTHODONTIC AND DENTAL POLYCLINIC-L.L.C-S.P.C-BRANCH</t>
        </is>
      </c>
    </row>
    <row r="682">
      <c r="B682" s="22" t="inlineStr">
        <is>
          <t>MF3344 - MEDICAL UNIVERSITY OF VIENNA INTERNATIONAL GMBH- ABU DHABI</t>
        </is>
      </c>
    </row>
    <row r="683">
      <c r="B683" s="22" t="inlineStr">
        <is>
          <t>MF3589 - NOOR ALAHLI HOSPITAL L.L.C.</t>
        </is>
      </c>
    </row>
    <row r="684">
      <c r="B684" s="22" t="inlineStr">
        <is>
          <t>MF3345 - NMC PROVITA INTERNATIONAL MEDICAL CENTER LTD - ABU DHABI</t>
        </is>
      </c>
    </row>
    <row r="685">
      <c r="B685" s="22" t="inlineStr">
        <is>
          <t>MF3676 - AWAFI HEALTH CARE  L.L.C._1</t>
        </is>
      </c>
    </row>
    <row r="686">
      <c r="B686" s="22" t="inlineStr">
        <is>
          <t>MF3644 - RESPONSE PLUS MEDICAL SERVICES L.L.C.</t>
        </is>
      </c>
    </row>
    <row r="687">
      <c r="B687" s="22" t="inlineStr">
        <is>
          <t>MF3632 - KHYBER MEDICAL CENTRE</t>
        </is>
      </c>
    </row>
    <row r="688">
      <c r="B688" s="22" t="inlineStr">
        <is>
          <t>MF3712 - EMERITUS SECOND HOSPITAL LLC</t>
        </is>
      </c>
    </row>
    <row r="689">
      <c r="B689" s="22" t="inlineStr">
        <is>
          <t xml:space="preserve">MF3717 - EMIRATES HOME CARE L.L.C </t>
        </is>
      </c>
    </row>
    <row r="690">
      <c r="B690" s="22" t="inlineStr">
        <is>
          <t>MF3688 - DAR AL SHIFAA MEDICAL CLINIC L.L.C</t>
        </is>
      </c>
    </row>
    <row r="691">
      <c r="B691" s="22" t="inlineStr">
        <is>
          <t>MF3696 - QUALITYDENT MEDICAL CENTRE</t>
        </is>
      </c>
    </row>
    <row r="692">
      <c r="B692" s="22" t="inlineStr">
        <is>
          <t>MF3694 - ASCENT POLYCLINIC L.L.C.</t>
        </is>
      </c>
    </row>
    <row r="693">
      <c r="B693" s="22" t="inlineStr">
        <is>
          <t>MF3763 - SAIPEM MIRFA CLINIC</t>
        </is>
      </c>
    </row>
    <row r="694">
      <c r="B694" s="22" t="inlineStr">
        <is>
          <t>MF3743 - SKIN HOUSE MEDICAL CENTER MEDICAL COMPLEX - L.L.C</t>
        </is>
      </c>
    </row>
    <row r="695">
      <c r="B695" s="22" t="inlineStr">
        <is>
          <t>MF3724 - INTERNATIONAL CENTER FOR DENTAL EXCELLENCE L.L.C</t>
        </is>
      </c>
    </row>
    <row r="696">
      <c r="B696" s="22" t="inlineStr">
        <is>
          <t>MF3725 - AL NOOR UNITED LABOUR SUPPLY SERVICES L.L.C.</t>
        </is>
      </c>
    </row>
    <row r="697">
      <c r="B697" s="22" t="inlineStr">
        <is>
          <t>MF3343 - AL CORNICE HOSPITAL IVF CENTRE</t>
        </is>
      </c>
    </row>
    <row r="698">
      <c r="B698" s="22" t="inlineStr">
        <is>
          <t>MF3800 - POLICE SPECIALIZED CLINIC COMPLEX- ONE DAY SURGERY CENTER</t>
        </is>
      </c>
    </row>
    <row r="699">
      <c r="B699" s="22" t="inlineStr">
        <is>
          <t>MF3858 - AL HAIL HEALTH CARE</t>
        </is>
      </c>
    </row>
    <row r="700">
      <c r="B700" s="22" t="inlineStr">
        <is>
          <t>MF3654 - AL MUSHRIF CHILDREN'S SPECIALTY CENTER</t>
        </is>
      </c>
    </row>
    <row r="701">
      <c r="B701" s="22" t="inlineStr">
        <is>
          <t>MF3775 - AL ZEINA MEDICAL CENTER</t>
        </is>
      </c>
    </row>
    <row r="702">
      <c r="B702" s="22" t="inlineStr">
        <is>
          <t>MF3820 - AL MAWADA HOSPITAL</t>
        </is>
      </c>
    </row>
    <row r="703">
      <c r="B703" s="22" t="inlineStr">
        <is>
          <t>MF3806 - DUBAI SMILE DENTAL CLINIC - BRANCH 2</t>
        </is>
      </c>
    </row>
    <row r="704">
      <c r="B704" s="22" t="inlineStr">
        <is>
          <t>MF3841 - ALSHARQ SPECIALIZED MEDICAL CENTRE</t>
        </is>
      </c>
    </row>
    <row r="705">
      <c r="B705" s="22" t="inlineStr">
        <is>
          <t>MF3870 - DENTACARE CENTRE -BRANCH 1</t>
        </is>
      </c>
    </row>
    <row r="706">
      <c r="B706" s="22" t="inlineStr">
        <is>
          <t xml:space="preserve">MF3915 - SEHATONA PROVIDE MEDICAL SERVICES </t>
        </is>
      </c>
    </row>
    <row r="707">
      <c r="B707" s="22" t="inlineStr">
        <is>
          <t>MF3937 - FAKIH MEDICAL CENTER L.L.C BRANCH 1</t>
        </is>
      </c>
    </row>
    <row r="708">
      <c r="B708" s="22" t="inlineStr">
        <is>
          <t>MF3951 - ROYAL O H S MEDICAL FACILITIES MANAGEMENT</t>
        </is>
      </c>
    </row>
    <row r="709">
      <c r="B709" s="22" t="inlineStr">
        <is>
          <t xml:space="preserve">MF3945 - Nurses Without Borders Home Health Care – L.L.C </t>
        </is>
      </c>
    </row>
    <row r="710">
      <c r="B710" s="22" t="inlineStr">
        <is>
          <t>MF3968 - perfect smile dental center LLC-SPC</t>
        </is>
      </c>
    </row>
    <row r="711">
      <c r="B711" s="22" t="inlineStr">
        <is>
          <t>MF4040 - AL NOOR HOSPITAL MEDICAL CLINIC - SAWAEED RESIDENTIAL CAMP</t>
        </is>
      </c>
    </row>
    <row r="712">
      <c r="B712" s="22" t="inlineStr">
        <is>
          <t>MF4025 - DIET AND MORE DIET CENTER</t>
        </is>
      </c>
    </row>
    <row r="713">
      <c r="B713" s="22" t="inlineStr">
        <is>
          <t>MF4019 - RAHMATH SILA CLINIC - L.L.C - S.P.C</t>
        </is>
      </c>
    </row>
    <row r="714">
      <c r="B714" s="22" t="inlineStr">
        <is>
          <t>MF4061 - INTERCARE HEALTH CENTER L.L.C.</t>
        </is>
      </c>
    </row>
    <row r="715">
      <c r="B715" s="22" t="inlineStr">
        <is>
          <t>MF4075 - CARE PLUS MEDICAL CENTRE ONE DAY SURGERY L.L.C.</t>
        </is>
      </c>
    </row>
    <row r="716">
      <c r="B716" s="22" t="inlineStr">
        <is>
          <t>MF4069 - FLORENC HOME HEALTH CARE SERVICES CENTER L.L.C. - BRANCH 2</t>
        </is>
      </c>
    </row>
    <row r="717">
      <c r="B717" s="22" t="inlineStr">
        <is>
          <t>MF4093 - DMETCO HOME HEALTH CARE L.L.C. - BRANCH 1</t>
        </is>
      </c>
    </row>
    <row r="718">
      <c r="B718" s="22" t="inlineStr">
        <is>
          <t>MF4163 - MEDICLINIC HOSPITALS - MARAWAH CLINICS</t>
        </is>
      </c>
    </row>
    <row r="719">
      <c r="B719" s="22" t="inlineStr">
        <is>
          <t>MF4166 - AL WAJAHA HEALTHCARE SERVICES</t>
        </is>
      </c>
    </row>
    <row r="720">
      <c r="B720" s="22" t="inlineStr">
        <is>
          <t>MF4165 - THE DOCTORS MEDICAL CENTER L.L.C MASDAR CITY BRANCH</t>
        </is>
      </c>
    </row>
    <row r="721">
      <c r="B721" s="22" t="inlineStr">
        <is>
          <t>MF4180 - RONZA DENTAL CLINIC</t>
        </is>
      </c>
    </row>
    <row r="722">
      <c r="B722" s="22" t="inlineStr">
        <is>
          <t>MF4160 - ORIS DENTAL CENTER L.L.C.</t>
        </is>
      </c>
    </row>
    <row r="723">
      <c r="B723" s="22" t="inlineStr">
        <is>
          <t>MF4190 - LIFE WATCH HOME CARE</t>
        </is>
      </c>
    </row>
    <row r="724">
      <c r="B724" s="22" t="inlineStr">
        <is>
          <t>MF4212 - ALBUSTAN MEDICAL CENTER L.L.C. - BRANCH 1</t>
        </is>
      </c>
    </row>
    <row r="725">
      <c r="B725" s="22" t="inlineStr">
        <is>
          <t>MF4224 - CHELSEA MEDICAL  CENTER L.L.C</t>
        </is>
      </c>
    </row>
    <row r="726">
      <c r="B726" s="22" t="inlineStr">
        <is>
          <t>MF4262 - N M C MEDICAL CENTRE L.L.C.</t>
        </is>
      </c>
    </row>
    <row r="727">
      <c r="B727" s="22" t="inlineStr">
        <is>
          <t>MF4378 - MEDICAL VISION HEALTH CARE</t>
        </is>
      </c>
    </row>
    <row r="728">
      <c r="B728" s="22" t="inlineStr">
        <is>
          <t>MF4333 - SONA RECRUITMENT</t>
        </is>
      </c>
    </row>
    <row r="729">
      <c r="B729" s="22" t="inlineStr">
        <is>
          <t>MF4237 - UNIVERSAL HOSPITAL CLINICS L.L.C.</t>
        </is>
      </c>
    </row>
    <row r="730">
      <c r="B730" s="22" t="inlineStr">
        <is>
          <t>MF4011 - NEURON PSYCHOLOGICAL CARE CENTER L. L. C.</t>
        </is>
      </c>
    </row>
    <row r="731">
      <c r="B731" s="22" t="inlineStr">
        <is>
          <t>MF4400 - HEALTH &amp; LIFE MEDICAL CENTER  BRANCH 6</t>
        </is>
      </c>
    </row>
    <row r="732">
      <c r="B732" s="22" t="inlineStr">
        <is>
          <t>MF4348 - GOLDEN TULIP MEDICAL CENTRE - L.L.C</t>
        </is>
      </c>
    </row>
    <row r="733">
      <c r="B733" s="22" t="inlineStr">
        <is>
          <t xml:space="preserve">MF4387 - ALBER HEALTH SERVICES CENTER </t>
        </is>
      </c>
    </row>
    <row r="734">
      <c r="B734" s="22" t="inlineStr">
        <is>
          <t>MF4365 - AL NOOR HOSPITAL CLINIC - ETISALAT</t>
        </is>
      </c>
    </row>
    <row r="735">
      <c r="B735" s="22" t="inlineStr">
        <is>
          <t>MF4460 -  Elitecare Health Home Center L.L.C- S.P.C</t>
        </is>
      </c>
    </row>
    <row r="736">
      <c r="B736" s="22" t="inlineStr">
        <is>
          <t>MF4413 - CAMBRIDGE MEDICAL CENTRE L.L.C</t>
        </is>
      </c>
    </row>
    <row r="737">
      <c r="B737" s="22" t="inlineStr">
        <is>
          <t>MF4524 - SKILLS INTERNATIONAL MANAGEMENT SERVICES &amp; TRAINING L.L.C</t>
        </is>
      </c>
    </row>
    <row r="738">
      <c r="B738" s="22" t="inlineStr">
        <is>
          <t>MF4552 - OASIS MEDICAL CENTRE L.L.C. - BRANCH</t>
        </is>
      </c>
    </row>
    <row r="739">
      <c r="B739" s="22" t="inlineStr">
        <is>
          <t>MF4539 - GHAYATHI HOME HEALTH CARE CENTER</t>
        </is>
      </c>
    </row>
    <row r="740">
      <c r="B740" s="22" t="inlineStr">
        <is>
          <t>MF4467 - HEALTH &amp; LIFE MEDICAL CENTER - BRANCH 9</t>
        </is>
      </c>
    </row>
    <row r="741">
      <c r="B741" s="22" t="inlineStr">
        <is>
          <t>MF4450 - ENCOMPASS HEALTH SAFETY ENVIRONMENTAL SOLUTIONS</t>
        </is>
      </c>
    </row>
    <row r="742">
      <c r="B742" s="22" t="inlineStr">
        <is>
          <t>MF4446 - HEALTH &amp; LIFE MEDICAL CENTER - BRANCH 8</t>
        </is>
      </c>
    </row>
    <row r="743">
      <c r="B743" s="22" t="inlineStr">
        <is>
          <t>MF4501 - ALOUFOK HOME HEALTH CARE</t>
        </is>
      </c>
    </row>
    <row r="744">
      <c r="B744" s="22" t="inlineStr">
        <is>
          <t>MF4455 - PROFICIENCY MEDICAL CENTER</t>
        </is>
      </c>
    </row>
    <row r="745">
      <c r="B745" s="22" t="inlineStr">
        <is>
          <t>MF4483 - ACACIA MEDICAL CENTRE</t>
        </is>
      </c>
    </row>
    <row r="746">
      <c r="B746" s="22" t="inlineStr">
        <is>
          <t xml:space="preserve">MF4515 - BEAUTICA DENTAL CENTER - SOLE PROPRIETORSHIP L.L.C </t>
        </is>
      </c>
    </row>
    <row r="747">
      <c r="B747" s="22" t="inlineStr">
        <is>
          <t>MF4557 - LLH MEDICAL CENTRE AL MUSAFFAH L.L.C - BRANCH 1</t>
        </is>
      </c>
    </row>
    <row r="748">
      <c r="B748" s="22" t="inlineStr">
        <is>
          <t>MF4646 - QUALITY FIRST HOME HEALTH CARE</t>
        </is>
      </c>
    </row>
    <row r="749">
      <c r="B749" s="22" t="inlineStr">
        <is>
          <t>MF4572 - SMILE FACTORY MEDICAL CENTER L.L.C</t>
        </is>
      </c>
    </row>
    <row r="750">
      <c r="B750" s="22" t="inlineStr">
        <is>
          <t>MF4585 - APPLE HOME HEALTH CARE</t>
        </is>
      </c>
    </row>
    <row r="751">
      <c r="B751" s="22" t="inlineStr">
        <is>
          <t xml:space="preserve">MF4590 - CLINICS - MEDICLINIC HOSPITALS L.L.C. O.P.C -  AL YAHAR </t>
        </is>
      </c>
    </row>
    <row r="752">
      <c r="B752" s="22" t="inlineStr">
        <is>
          <t>MF4608 - SPEEDLINE  EMPLOYMENT-SOLE  PROPRIETORSHIP L.L.C.</t>
        </is>
      </c>
    </row>
    <row r="753">
      <c r="B753" s="22" t="inlineStr">
        <is>
          <t>MF4598 - HOPE MEDICAL CENTER LLC</t>
        </is>
      </c>
    </row>
    <row r="754">
      <c r="B754" s="22" t="inlineStr">
        <is>
          <t>MF4597 - DR SAHAR ALKADHI MEDICAL CENTER - SOLE PROPRIETORSHIP L.L.C</t>
        </is>
      </c>
    </row>
    <row r="755">
      <c r="B755" s="22" t="inlineStr">
        <is>
          <t>MF4654 - ROWAD ALGHAD MEDICAL CENTER</t>
        </is>
      </c>
    </row>
    <row r="756">
      <c r="B756" s="22" t="inlineStr">
        <is>
          <t>MF4637 - AL SIL HOME CARE CENTER</t>
        </is>
      </c>
    </row>
    <row r="757">
      <c r="B757" s="22" t="inlineStr">
        <is>
          <t>MF4448 - LIFE WISE HOME HEALTHCARE L.L.C.</t>
        </is>
      </c>
    </row>
    <row r="758">
      <c r="B758" s="22" t="inlineStr">
        <is>
          <t>MF4667 - ARBRIT GULF CONSULTANCY &amp; TRAINING</t>
        </is>
      </c>
    </row>
    <row r="759">
      <c r="B759" s="22" t="inlineStr">
        <is>
          <t>MF4684 - GOLDEN HEALTH MEDICAL CENTER - L.L.C - S.P.C</t>
        </is>
      </c>
    </row>
    <row r="760">
      <c r="B760" s="22" t="inlineStr">
        <is>
          <t>MF4690 - MANCHESTER HOME HEALTH CARE L.L.C.</t>
        </is>
      </c>
    </row>
    <row r="761">
      <c r="B761" s="22" t="inlineStr">
        <is>
          <t>MF4876 - FAKIH IVF FERTILITY CENTER LTD - BRANCH 4</t>
        </is>
      </c>
    </row>
    <row r="762">
      <c r="B762" s="22" t="inlineStr">
        <is>
          <t>MF4709 - CLOUD PHYSIOLOGY TREATMENT CENTRE L.L.C.</t>
        </is>
      </c>
    </row>
    <row r="763">
      <c r="B763" s="22" t="inlineStr">
        <is>
          <t>MF4705 - NOOR ALAHLI MEDICAL CENTER L.L.C. - BRANCH 1</t>
        </is>
      </c>
    </row>
    <row r="764">
      <c r="B764" s="22" t="inlineStr">
        <is>
          <t>MF4732 - BEAUTY PLUS MEDICAL CENTER L.L.C</t>
        </is>
      </c>
    </row>
    <row r="765">
      <c r="B765" s="22" t="inlineStr">
        <is>
          <t>MF4700 - THE SPECIALIST DIABETES TREATMENT &amp; RESEARCH CENTRE (IMPERIAL COLLEGE LONDON DIABETES &amp; ENDOCRINE CENTRE) - L.L.C - S.P.C - BRANCH</t>
        </is>
      </c>
    </row>
    <row r="766">
      <c r="B766" s="22" t="inlineStr">
        <is>
          <t>MF4703 - HEALTH &amp; LIFE MEDICAL CENTER - BRANCH 11</t>
        </is>
      </c>
    </row>
    <row r="767">
      <c r="B767" s="22" t="inlineStr">
        <is>
          <t>MF4725 - ASPEN MEDICAL SERVICES</t>
        </is>
      </c>
    </row>
    <row r="768">
      <c r="B768" s="22" t="inlineStr">
        <is>
          <t>MF4741 - MOTION ORTHOPEDIC COMPENSATION DEVICES LAB - L.L.C - O.P.C</t>
        </is>
      </c>
    </row>
    <row r="769">
      <c r="B769" s="22" t="inlineStr">
        <is>
          <t>MF4733 - NICE SMILE DENTAL CLINIC</t>
        </is>
      </c>
    </row>
    <row r="770">
      <c r="B770" s="22" t="inlineStr">
        <is>
          <t>MF4752 - AESTHETIC DERMAL MEDICAL CENTRE L.L.C. - BRANCH OF ABU DHABI 1</t>
        </is>
      </c>
    </row>
    <row r="771">
      <c r="B771" s="22" t="inlineStr">
        <is>
          <t>MF4770 - AL ANDALUS MEDICAL CENTER L.L.C.</t>
        </is>
      </c>
    </row>
    <row r="772">
      <c r="B772" s="22" t="inlineStr">
        <is>
          <t xml:space="preserve">MF4786 - LAHOUD ENGINEERING COMPANY CLINIC </t>
        </is>
      </c>
    </row>
    <row r="773">
      <c r="B773" s="22" t="inlineStr">
        <is>
          <t>MF4865 - TABIBAK MEDICAL CENTER OWNED BY IBRAHIM ABDULNOOR ALZAROONI - SOLE PROPRIETORSHIP L.L.C</t>
        </is>
      </c>
    </row>
    <row r="774">
      <c r="B774" s="22" t="inlineStr">
        <is>
          <t>MF4846 - AL LUA LUAH MEDICAL TRAINING CENTER</t>
        </is>
      </c>
    </row>
    <row r="775">
      <c r="B775" s="22" t="inlineStr">
        <is>
          <t>MF4842 - EXPERT MEDICAL CLINIC - SOLE PROPRIETORSHIP L.L.C.</t>
        </is>
      </c>
    </row>
    <row r="776">
      <c r="B776" s="22" t="inlineStr">
        <is>
          <t xml:space="preserve">MF4373 - SHADI INTERNATIONAL DENTAL &amp; ORTHODONTIC CENTER L.L.C. - BRANCH 1  </t>
        </is>
      </c>
    </row>
    <row r="777">
      <c r="B777" s="22" t="inlineStr">
        <is>
          <t>MF5001 - FIRST NEUROPSYCHIATRY CLINIC LLC</t>
        </is>
      </c>
    </row>
    <row r="778">
      <c r="B778" s="22" t="inlineStr">
        <is>
          <t>MF4923 - BEDASHING MEDICAL CENTER LLC</t>
        </is>
      </c>
    </row>
    <row r="779">
      <c r="B779" s="22" t="inlineStr">
        <is>
          <t>MF4963 - RESPONSE PLUS MANPOWER SUPPLY</t>
        </is>
      </c>
    </row>
    <row r="780">
      <c r="B780" s="22" t="inlineStr">
        <is>
          <t>MF4719 - JORDANIAN SPEECH CLINIC FOR SPEECH THERAPY AND LEARNING DISABILITIES L.L.C- BRANCH 1</t>
        </is>
      </c>
    </row>
    <row r="781">
      <c r="B781" s="22" t="inlineStr">
        <is>
          <t>MF4933 - NEURO SPINE CARE CONSULTANT MEDICAL CENTER</t>
        </is>
      </c>
    </row>
    <row r="782">
      <c r="B782" s="22" t="inlineStr">
        <is>
          <t>MF4953 - HEALTHY OCEAN MEDICAL CENTRE</t>
        </is>
      </c>
    </row>
    <row r="783">
      <c r="B783" s="22" t="inlineStr">
        <is>
          <t>MF4976 - LINDE HEALTHCARE MIDDLE EAST L.L.C.</t>
        </is>
      </c>
    </row>
    <row r="784">
      <c r="B784" s="22" t="inlineStr">
        <is>
          <t>MF4971 - HAPPY SMILE DENTAL CLINIC - L.L.C - S.P.C</t>
        </is>
      </c>
    </row>
    <row r="785">
      <c r="B785" s="22" t="inlineStr">
        <is>
          <t>MF5137 - ACCUCARE MEDICAL MOBILE CLINIC</t>
        </is>
      </c>
    </row>
    <row r="786">
      <c r="B786" s="22" t="inlineStr">
        <is>
          <t>MF5059 - VITORIA SPA GENTS CENTER</t>
        </is>
      </c>
    </row>
    <row r="787">
      <c r="B787" s="22" t="inlineStr">
        <is>
          <t>MF5070 - HEROLA MIDDLE EAST HEALTH CARE SERVICES MANAGEMENT LLC</t>
        </is>
      </c>
    </row>
    <row r="788">
      <c r="B788" s="22" t="inlineStr">
        <is>
          <t>MF5068 - CLARION MEDICAL CENTER - L.L.C - S.P.C</t>
        </is>
      </c>
    </row>
    <row r="789">
      <c r="B789" s="22" t="inlineStr">
        <is>
          <t>MF5454 - BOURN HALL L.L.C - BRANCH OF ABU DHABI</t>
        </is>
      </c>
    </row>
    <row r="790">
      <c r="B790" s="22" t="inlineStr">
        <is>
          <t>MF5185 - AL DIYAFA MEDICAL CENTER</t>
        </is>
      </c>
    </row>
    <row r="791">
      <c r="B791" s="22" t="inlineStr">
        <is>
          <t>MF5186 - HEALTH GATE SPECIALIST HOSPITAL</t>
        </is>
      </c>
    </row>
    <row r="792">
      <c r="B792" s="22" t="inlineStr">
        <is>
          <t>MF5144 - ALRAYA MEDICAL CENTER - L.L.C - O.P.C</t>
        </is>
      </c>
    </row>
    <row r="793">
      <c r="B793" s="22" t="inlineStr">
        <is>
          <t>MF5102 - SILKOR LASER MEDICAL CENTER LLC</t>
        </is>
      </c>
    </row>
    <row r="794">
      <c r="B794" s="22" t="inlineStr">
        <is>
          <t>MF4584 - PAPILLON DENTAL CENTER L.L.C.</t>
        </is>
      </c>
    </row>
    <row r="795">
      <c r="B795" s="22" t="inlineStr">
        <is>
          <t>MF5149 - ZAKUM WEST SUPER  COMPLEX CLINIC</t>
        </is>
      </c>
    </row>
    <row r="796">
      <c r="B796" s="22" t="inlineStr">
        <is>
          <t>MF5141 - ALABRAG MEDICAL CLINIC OWNED BY IBRAHIM ABDULNOOR ALZAROONI - SOLE PROPERTORSHIP L.L.C</t>
        </is>
      </c>
    </row>
    <row r="797">
      <c r="B797" s="22" t="inlineStr">
        <is>
          <t>MF5171 - ELAAJ AYURVEDA HEALTH CENTER L.L.C.</t>
        </is>
      </c>
    </row>
    <row r="798">
      <c r="B798" s="22" t="inlineStr">
        <is>
          <t xml:space="preserve">MF5212 - FUTURE MEDICAL CLINIC OWEND BY IBRAHIM ABDULNOOR ALZAROONI - SOLE PROPRIETORSHIP L.L.C - SOLE PRO </t>
        </is>
      </c>
    </row>
    <row r="799">
      <c r="B799" s="22" t="inlineStr">
        <is>
          <t>MF5119 - EVERLAST WELLNESS MEDICAL CENTER L.L.C. - BRANCH 1</t>
        </is>
      </c>
    </row>
    <row r="800">
      <c r="B800" s="22" t="inlineStr">
        <is>
          <t>MF5175 - AL JAZIRA SPORTS CLUB MEDICAL CENTER</t>
        </is>
      </c>
    </row>
    <row r="801">
      <c r="B801" s="22" t="inlineStr">
        <is>
          <t>MF5197 - ALHAYEL MEDICAL CLINIC WOEND BY IBRAHIM ABDULNOOR ALZAROONI - SOLE PROPRIETORSHIP L.L.C - SOLE PRO</t>
        </is>
      </c>
    </row>
    <row r="802">
      <c r="B802" s="22" t="inlineStr">
        <is>
          <t>MF5204 - SAQR AL JAZIRA MEDICAL FACILITIES MANAGEMENT</t>
        </is>
      </c>
    </row>
    <row r="803">
      <c r="B803" s="22" t="inlineStr">
        <is>
          <t>MF5467 - RELAX HEALTH INTERNATIONAL MEDICAL CENTER</t>
        </is>
      </c>
    </row>
    <row r="804">
      <c r="B804" s="22" t="inlineStr">
        <is>
          <t xml:space="preserve">MF4766 - AL RWAD SPECIALIZED HOSPITAL </t>
        </is>
      </c>
    </row>
    <row r="805">
      <c r="B805" s="22" t="inlineStr">
        <is>
          <t>MF5233 - LEVARD MEDICAL CENTER</t>
        </is>
      </c>
    </row>
    <row r="806">
      <c r="B806" s="22" t="inlineStr">
        <is>
          <t>MF5254 - FAKIH MEDICAL CENTER L.L.C. BRANCH 3</t>
        </is>
      </c>
    </row>
    <row r="807">
      <c r="B807" s="22" t="inlineStr">
        <is>
          <t>MF5250 - HAYAT GENERAL MEDICAL CLINIC</t>
        </is>
      </c>
    </row>
    <row r="808">
      <c r="B808" s="22" t="inlineStr">
        <is>
          <t>MF4571 - EASTERN ALAHILI MEDICAL CENTER - SOLE PROPRIETORSHIP L.L.C. - BRANCH</t>
        </is>
      </c>
    </row>
    <row r="809">
      <c r="B809" s="22" t="inlineStr">
        <is>
          <t>MF5284 - BURJEEL GARDEN MEDICAL CENTRE L.L.C</t>
        </is>
      </c>
    </row>
    <row r="810">
      <c r="B810" s="22" t="inlineStr">
        <is>
          <t>MF5270 - LEVANTINE MEDICAL CENTER L.L.C</t>
        </is>
      </c>
    </row>
    <row r="811">
      <c r="B811" s="22" t="inlineStr">
        <is>
          <t>MF5333 - CARE GIVERS HOME HEALTH CENTRE</t>
        </is>
      </c>
    </row>
    <row r="812">
      <c r="B812" s="22" t="inlineStr">
        <is>
          <t>MF5327 - NOUBEL REHABILITATION CENTER - L.L.C</t>
        </is>
      </c>
    </row>
    <row r="813">
      <c r="B813" s="22" t="inlineStr">
        <is>
          <t>MF5302 - FERTICLINIC FERTILIZATION CENTRE L.L.C</t>
        </is>
      </c>
    </row>
    <row r="814">
      <c r="B814" s="22" t="inlineStr">
        <is>
          <t>MF5361 - OASIS MEDICAL CENTRE-BRANCH 2</t>
        </is>
      </c>
    </row>
    <row r="815">
      <c r="B815" s="22" t="inlineStr">
        <is>
          <t>MF5351 - ATLANTIC AMBULATORY CARE FACILITY</t>
        </is>
      </c>
    </row>
    <row r="816">
      <c r="B816" s="22" t="inlineStr">
        <is>
          <t>MF5365 - INNOVAIT DENTAL LAB - L.L.C</t>
        </is>
      </c>
    </row>
    <row r="817">
      <c r="B817" s="22" t="inlineStr">
        <is>
          <t>MF5375 - Sno Wellness Medical Center - Sole Proprietorship LLC</t>
        </is>
      </c>
    </row>
    <row r="818">
      <c r="B818" s="22" t="inlineStr">
        <is>
          <t>MF5400 - CANADIAN MEDICAL CENTER SOLE PROPRIETORSHIP L.L.C - BRANCH 3</t>
        </is>
      </c>
    </row>
    <row r="819">
      <c r="B819" s="22" t="inlineStr">
        <is>
          <t>MF4954 - DERMAZONE LASER AND COSMETIC CENTER SOLE PROPRIETORSHIP L L C</t>
        </is>
      </c>
    </row>
    <row r="820">
      <c r="B820" s="22" t="inlineStr">
        <is>
          <t>MF5401 - JONIOR MEDICAL CENTER</t>
        </is>
      </c>
    </row>
    <row r="821">
      <c r="B821" s="22" t="inlineStr">
        <is>
          <t>MF5407 - TOOTH LOUNG DENTAL CLINIC L.L.C.</t>
        </is>
      </c>
    </row>
    <row r="822">
      <c r="B822" s="22" t="inlineStr">
        <is>
          <t>MF5398 - TAJMEEL COSMO CLINIC L.L.C</t>
        </is>
      </c>
    </row>
    <row r="823">
      <c r="B823" s="22" t="inlineStr">
        <is>
          <t xml:space="preserve">MF5404 - UNLIMITED CARE HOME HEALTH CARE </t>
        </is>
      </c>
    </row>
    <row r="824">
      <c r="B824" s="22" t="inlineStr">
        <is>
          <t>MF5408 - AMAN HOME FOR HEALTH MEDICAL HOME CARE L.L.C</t>
        </is>
      </c>
    </row>
    <row r="825">
      <c r="B825" s="22" t="inlineStr">
        <is>
          <t>MF5431 - CLINIGENCE MEDICAL FACILITIES  MANAGEMENT</t>
        </is>
      </c>
    </row>
    <row r="826">
      <c r="B826" s="22" t="inlineStr">
        <is>
          <t>MF5449 - AIC MEDICAL CENTER - SOLE PROPRIETORSHIP L.L.C</t>
        </is>
      </c>
    </row>
    <row r="827">
      <c r="B827" s="22" t="inlineStr">
        <is>
          <t>MF4931 - GOLDEN HEART HOME HEALTH CARE   L.L.C.</t>
        </is>
      </c>
    </row>
    <row r="828">
      <c r="B828" s="22" t="inlineStr">
        <is>
          <t>MF5487 - LUMIERE SKIN MEDICAL CENTER - L.L.C - BRANCH 6</t>
        </is>
      </c>
    </row>
    <row r="829">
      <c r="B829" s="22" t="inlineStr">
        <is>
          <t>MF5572 - Al Nasr contracting company LLC clinic</t>
        </is>
      </c>
    </row>
    <row r="830">
      <c r="B830" s="22" t="inlineStr">
        <is>
          <t>MF5538 - YASHFEEN MEDICAL CENTER - L.L.C - S.P.C</t>
        </is>
      </c>
    </row>
    <row r="831">
      <c r="B831" s="22" t="inlineStr">
        <is>
          <t>MF5566 - 32 SMILES DENTAL CENTER L.L.C.</t>
        </is>
      </c>
    </row>
    <row r="832">
      <c r="B832" s="22" t="inlineStr">
        <is>
          <t>MF5555 - HMC MEDICAL CENTRE - L.L.C - O.P.C</t>
        </is>
      </c>
    </row>
    <row r="833">
      <c r="B833" s="22" t="inlineStr">
        <is>
          <t>MF4907 - HEALTH TIME MEDICAL CENTRE - SOLE PROPRIETORSHIP L.L.C</t>
        </is>
      </c>
    </row>
    <row r="834">
      <c r="B834" s="22" t="inlineStr">
        <is>
          <t>MF1908 - AL MADAR MEDICAL CENTER L.L.C</t>
        </is>
      </c>
    </row>
    <row r="835">
      <c r="B835" s="22" t="inlineStr">
        <is>
          <t>MF5630 - UNITEAM PRIMARY HEALTH CARE CENTER L.L.C. - BRANCH - AL DAHRA</t>
        </is>
      </c>
    </row>
    <row r="836">
      <c r="B836" s="22" t="inlineStr">
        <is>
          <t>MF5657 - BEST WAYS MEDICAL SERVICES  - SOLE PROPRIETORSHIP L.L.C.</t>
        </is>
      </c>
    </row>
    <row r="837">
      <c r="B837" s="22" t="inlineStr">
        <is>
          <t>MF4279 - GENET DENTAL CENTER L.L.C.</t>
        </is>
      </c>
    </row>
    <row r="838">
      <c r="B838" s="22" t="inlineStr">
        <is>
          <t>MF5682 - HARMONY MEDICAL CENTER BRANCH ALDHAFRA REGION MADINAT ZAYED</t>
        </is>
      </c>
    </row>
    <row r="839">
      <c r="B839" s="22" t="inlineStr">
        <is>
          <t>MF5668 - DR. NASSER MEDICAL CENTER  -  SOLE PROPRIETORSHIP L.L.C</t>
        </is>
      </c>
    </row>
    <row r="840">
      <c r="B840" s="22" t="inlineStr">
        <is>
          <t xml:space="preserve">MF335 - MARIAM MEDICAL CENTER - L.L.C - S.P.C </t>
        </is>
      </c>
    </row>
    <row r="841">
      <c r="B841" s="22" t="inlineStr">
        <is>
          <t>MF5701 - ANTIGONE MEDICAL COMPLEX</t>
        </is>
      </c>
    </row>
    <row r="842">
      <c r="B842" s="22" t="inlineStr">
        <is>
          <t>MF7091 - ROYAL HEALTH SPECIALIST ONE DAY SURGERY - SOLE PROPRIETORSHIP L.L.C</t>
        </is>
      </c>
    </row>
    <row r="843">
      <c r="B843" s="22" t="inlineStr">
        <is>
          <t>MF5726 - ECHO MEDICAL COMPLEX</t>
        </is>
      </c>
    </row>
    <row r="844">
      <c r="B844" s="22" t="inlineStr">
        <is>
          <t>MF5704 - DRONCALL LTD</t>
        </is>
      </c>
    </row>
    <row r="845">
      <c r="B845" s="22" t="inlineStr">
        <is>
          <t>MF5267 - ZAS MEDICAL FACILITIES MANAGMENT -L.L.C.</t>
        </is>
      </c>
    </row>
    <row r="846">
      <c r="B846" s="22" t="inlineStr">
        <is>
          <t>MF5721 - P &amp; H HEALTH CARE CENTER</t>
        </is>
      </c>
    </row>
    <row r="847">
      <c r="B847" s="22" t="inlineStr">
        <is>
          <t>MF5733 - DANATAIN MEDICAL CLINIC- SOLE PROPRIETORSHIP L.L.C.</t>
        </is>
      </c>
    </row>
    <row r="848">
      <c r="B848" s="22" t="inlineStr">
        <is>
          <t>MF7010 - BERLIN MEDICAL &amp; NEUROLOGICAL REHABILITATION  L.L.C. - BRANCH</t>
        </is>
      </c>
    </row>
    <row r="849">
      <c r="B849" s="22" t="inlineStr">
        <is>
          <t>MF7008 - AL SEEF HEALTH &amp; BEAUTY POLYCLINIC L.L.C.</t>
        </is>
      </c>
    </row>
    <row r="850">
      <c r="B850" s="22" t="inlineStr">
        <is>
          <t>MF4650 - DR BATRAS HEALTH CARE CENTER - L.L.C - O.P.C</t>
        </is>
      </c>
    </row>
    <row r="851">
      <c r="B851" s="22" t="inlineStr">
        <is>
          <t>MF7071 - OXYGEN REHABILITATION CENTER - L.L.C.</t>
        </is>
      </c>
    </row>
    <row r="852">
      <c r="B852" s="22" t="inlineStr">
        <is>
          <t>MF7512 - Somerian Health Hospital</t>
        </is>
      </c>
    </row>
    <row r="853">
      <c r="B853" s="22" t="inlineStr">
        <is>
          <t>MF3338 - PYRAMIDS HEALTH SERVICES  L.L.C.</t>
        </is>
      </c>
    </row>
    <row r="854">
      <c r="B854" s="22" t="inlineStr">
        <is>
          <t>MF7117 - SOFT CARE MEDICAL CENTER - SOLE PROPRIETORSHIP L.L.CC</t>
        </is>
      </c>
    </row>
    <row r="855">
      <c r="B855" s="22" t="inlineStr">
        <is>
          <t>MF7124 - LAFAILLE MEDICAL CENTER</t>
        </is>
      </c>
    </row>
    <row r="856">
      <c r="B856" s="22" t="inlineStr">
        <is>
          <t>MF7149 - NASSER SAEED ALHAJRI &amp;PARTNERS CONTRACTING COMPANY  L.L.C.</t>
        </is>
      </c>
    </row>
    <row r="857">
      <c r="B857" s="22" t="inlineStr">
        <is>
          <t>MF7152 - AD - 33 CLINIC</t>
        </is>
      </c>
    </row>
    <row r="858">
      <c r="B858" s="22" t="inlineStr">
        <is>
          <t>MF7160 - AL WAFAA KINDERGARTEN - SOLE PROPRIETORSHIP L.L.C.</t>
        </is>
      </c>
    </row>
    <row r="859">
      <c r="B859" s="22" t="inlineStr">
        <is>
          <t>MF7179 - PURE OPTICAL  L.L.C. - BRANCH</t>
        </is>
      </c>
    </row>
    <row r="860">
      <c r="B860" s="22" t="inlineStr">
        <is>
          <t>MF7190 - ASPEN MEDICAL SERVICES -L L C - SOLE PROPRIETORSHIP L.L.C.</t>
        </is>
      </c>
    </row>
    <row r="861">
      <c r="B861" s="22" t="inlineStr">
        <is>
          <t>MF7196 - M 26  MEDICAL CENTER - L.L.C</t>
        </is>
      </c>
    </row>
    <row r="862">
      <c r="B862" s="22" t="inlineStr">
        <is>
          <t>MF7233 - HOUSE OF SKINCARE BEAUTY CLINIC - SOLE PROPRIETORSHIP L.L.C.</t>
        </is>
      </c>
    </row>
    <row r="863">
      <c r="B863" s="22" t="inlineStr">
        <is>
          <t>MF7245 - FITCLINIC EXERCISE AND SPORT MEDICINE MEDICAL CENTER L.L.C.</t>
        </is>
      </c>
    </row>
    <row r="864">
      <c r="B864" s="22" t="inlineStr">
        <is>
          <t>MF7247 - ABU AL BUKHOOSH CLINIC</t>
        </is>
      </c>
    </row>
    <row r="865">
      <c r="B865" s="22" t="inlineStr">
        <is>
          <t>MF7252 - G H MEDICLINIC L.L.C.</t>
        </is>
      </c>
    </row>
    <row r="866">
      <c r="B866" s="22" t="inlineStr">
        <is>
          <t>MF7138 - VERSA MIDECAL CENTER PRIMARY HEALTHCARE</t>
        </is>
      </c>
    </row>
    <row r="867">
      <c r="B867" s="22" t="inlineStr">
        <is>
          <t>MF7271 - SWIFT MEDICAL CENTER L.L.C.</t>
        </is>
      </c>
    </row>
    <row r="868">
      <c r="B868" s="22" t="inlineStr">
        <is>
          <t>MF7273 - GOLDSMITH BEAUTY CLINIC SOLE PROPRIETORSHIP L.L.C.</t>
        </is>
      </c>
    </row>
    <row r="869">
      <c r="B869" s="22" t="inlineStr">
        <is>
          <t>MF7272 - Reem Neuroscience Center L.L.C</t>
        </is>
      </c>
    </row>
    <row r="870">
      <c r="B870" s="22" t="inlineStr">
        <is>
          <t>MF7301 - AL JABER OPTICAL CENTER L L C 2 - BRANCH OF ABU DHABI 29</t>
        </is>
      </c>
    </row>
    <row r="871">
      <c r="B871" s="22" t="inlineStr">
        <is>
          <t>MF7312 - AL GHAD SCHOOL - SOLE PROPRIETORSHIP L.L.C. CLINIC</t>
        </is>
      </c>
    </row>
    <row r="872">
      <c r="B872" s="22" t="inlineStr">
        <is>
          <t>MF7313 - RIVOLI EYEZONE</t>
        </is>
      </c>
    </row>
    <row r="873">
      <c r="B873" s="22" t="inlineStr">
        <is>
          <t>MF7327 - AL DHAFRA CO-OPERATIVE SOCIETY FIRST -AID POST</t>
        </is>
      </c>
    </row>
    <row r="874">
      <c r="B874" s="22" t="inlineStr">
        <is>
          <t>MF7005 - TECNICAS REUNIDAS SA - ABU DHABI</t>
        </is>
      </c>
    </row>
    <row r="875">
      <c r="B875" s="22" t="inlineStr">
        <is>
          <t>MF7332 - AL DHAFRA PRIVATE NURSERY CLINIC</t>
        </is>
      </c>
    </row>
    <row r="876">
      <c r="B876" s="22" t="inlineStr">
        <is>
          <t>MF376 - NMDC ENERGY - P.J.S.C MEDICAL CENTER</t>
        </is>
      </c>
    </row>
    <row r="877">
      <c r="B877" s="22" t="inlineStr">
        <is>
          <t>MF5255 - BEAUTY TRICK ONE DAY CARE SURGERY CENTRE L.L.C.</t>
        </is>
      </c>
    </row>
    <row r="878">
      <c r="B878" s="22" t="inlineStr">
        <is>
          <t>MF7365 - AL DHAHER KG &amp; C1 School Clinic</t>
        </is>
      </c>
    </row>
    <row r="879">
      <c r="B879" s="22" t="inlineStr">
        <is>
          <t>MF4235 - ULTRA MEDICAL CENTER - L.L.C</t>
        </is>
      </c>
    </row>
    <row r="880">
      <c r="B880" s="22" t="inlineStr">
        <is>
          <t>MF7421 - OSCAR MEDICAL CENTER - SOLE PROPRIETOSHIP L.L.C</t>
        </is>
      </c>
    </row>
    <row r="881">
      <c r="B881" s="22" t="inlineStr">
        <is>
          <t>MF7424 - BLOSSOM MEDICAL CENTER L.L.C.</t>
        </is>
      </c>
    </row>
    <row r="882">
      <c r="B882" s="22" t="inlineStr">
        <is>
          <t>MF7432 - BIN DIRAI &amp; PARTNERS CONTRACTING &amp; GENERAL MAINTENANCE  L.L.C.</t>
        </is>
      </c>
    </row>
    <row r="883">
      <c r="B883" s="22" t="inlineStr">
        <is>
          <t>MF7447 - AD-183</t>
        </is>
      </c>
    </row>
    <row r="884">
      <c r="B884" s="22" t="inlineStr">
        <is>
          <t>MF7454 - UNITED AMBULANCES AMBULANCE SERVICES</t>
        </is>
      </c>
    </row>
    <row r="885">
      <c r="B885" s="22" t="inlineStr">
        <is>
          <t>MF7461 - Police Academy Medical Center</t>
        </is>
      </c>
    </row>
    <row r="886">
      <c r="B886" s="22" t="inlineStr">
        <is>
          <t>MF2426 - CLINICS - MEDICLINIC HOSPITALS - L.L.C - O.P.C ( AL MADAR )</t>
        </is>
      </c>
    </row>
    <row r="887">
      <c r="B887" s="22" t="inlineStr">
        <is>
          <t>MF7469 - VERSA PLUS MEDICAL CENTER PRIMARY HEALTHCARE - L.L.C</t>
        </is>
      </c>
    </row>
    <row r="888">
      <c r="B888" s="22" t="inlineStr">
        <is>
          <t>MF7474 - HERBAL PARK AYURVEDIC HEALTH CENTER L.L.C.</t>
        </is>
      </c>
    </row>
    <row r="889">
      <c r="B889" s="22" t="inlineStr">
        <is>
          <t>MF7494 - Al Ain Mortuary</t>
        </is>
      </c>
    </row>
    <row r="890">
      <c r="B890" s="22" t="inlineStr">
        <is>
          <t>MF7498 - Glamour Medical Center L.L.C</t>
        </is>
      </c>
    </row>
    <row r="891">
      <c r="B891" s="22" t="inlineStr">
        <is>
          <t>MF7506 - SAUDI AL FRANCE MEDICAL CENTER L.L.C.</t>
        </is>
      </c>
    </row>
    <row r="892">
      <c r="B892" s="22" t="inlineStr">
        <is>
          <t>MF7507 - KOTTAKKAL AYURVEDA CLINIC</t>
        </is>
      </c>
    </row>
    <row r="893">
      <c r="B893" s="22" t="inlineStr">
        <is>
          <t xml:space="preserve">MF7534 - AL SHAIBA SAEED AL HAMLI GROUP OF EST (AL FIRAS GENERAL CONTRACTI CLINC </t>
        </is>
      </c>
    </row>
    <row r="894">
      <c r="B894" s="22" t="inlineStr">
        <is>
          <t>MF7540 - Risalla Home Health Care Services</t>
        </is>
      </c>
    </row>
    <row r="895">
      <c r="B895" s="22" t="inlineStr">
        <is>
          <t>MF7536 - AL AZM SCHOOL - SOLE PROPRIETORSHIP L.L.C Clinic</t>
        </is>
      </c>
    </row>
    <row r="896">
      <c r="B896" s="22" t="inlineStr">
        <is>
          <t>MF7560 - THE RUSSIAN SCHOOL OF ABUDHABI - SOLE PROPRIETORSHIP L.L.C.</t>
        </is>
      </c>
    </row>
    <row r="897">
      <c r="B897" s="22" t="inlineStr">
        <is>
          <t>MF7566 - AACI MEDICAL SERVICES L.L.C S.P.C</t>
        </is>
      </c>
    </row>
    <row r="898">
      <c r="B898" s="22" t="inlineStr">
        <is>
          <t>MF3141 - ROMA MEDICAL CENTER L.L.C</t>
        </is>
      </c>
    </row>
    <row r="899">
      <c r="B899" s="22" t="inlineStr">
        <is>
          <t>MF7635 - NOON DENTAL LABORATORY L.L.C.-S.P.C</t>
        </is>
      </c>
    </row>
    <row r="900">
      <c r="B900" s="22" t="inlineStr">
        <is>
          <t>MF7645 - PALEY MIDDLE EAST CLINIC   L.L.C.</t>
        </is>
      </c>
    </row>
    <row r="901">
      <c r="B901" s="22" t="inlineStr">
        <is>
          <t>MF7691 - AL NAHDHA SCHOOL   - SOLE PROPRIETORSHIP L.L.C.</t>
        </is>
      </c>
    </row>
    <row r="902">
      <c r="B902" s="22" t="inlineStr">
        <is>
          <t>MF7695 - FUTURE LEADERS INTERNATIONAL PRIVATE SCHOOL.  - SOLE PROPRIETORSHIP L.L.C. - BRANCH</t>
        </is>
      </c>
    </row>
    <row r="903">
      <c r="B903" s="22" t="inlineStr">
        <is>
          <t>MF7701 - HEALTHY OUTFIT MEDICAL CENTER- SOLE PROPRIETORSHIP L.L.C.</t>
        </is>
      </c>
    </row>
    <row r="904">
      <c r="B904" s="22" t="inlineStr">
        <is>
          <t>MF4405 - Smile Alreem Dental Center L.L.C.</t>
        </is>
      </c>
    </row>
    <row r="905">
      <c r="B905" s="22" t="inlineStr">
        <is>
          <t>MF7103 - Pure Lab South L.L.C</t>
        </is>
      </c>
    </row>
    <row r="906">
      <c r="B906" s="22" t="inlineStr">
        <is>
          <t>MF7732 - MIRAJ GENERAL TRANSPORTING</t>
        </is>
      </c>
    </row>
    <row r="907">
      <c r="B907" s="22" t="inlineStr">
        <is>
          <t>MF7745 - COSMETIC ELITE TEETH MANUFACTURING AND COMPENSATION LAB- L.L.C - S.P.C</t>
        </is>
      </c>
    </row>
    <row r="908">
      <c r="B908" s="22" t="inlineStr">
        <is>
          <t>MF7588 - LIFECARE  MEDICAL CENTER</t>
        </is>
      </c>
    </row>
    <row r="909">
      <c r="B909" s="22" t="inlineStr">
        <is>
          <t>MF7768 - DOCTOR M OPTICAL )BR OF MAGRABI OPTICAL COMPANY L.L.C( - BRANCH OF ABU DHABI 1</t>
        </is>
      </c>
    </row>
    <row r="910">
      <c r="B910" s="22" t="inlineStr">
        <is>
          <t>MF5 - DR. BELLAH CONSULTANT CLINIC</t>
        </is>
      </c>
    </row>
    <row r="911">
      <c r="B911" s="22" t="inlineStr">
        <is>
          <t>MF7803 - DISEASE PREVENTION AND SCREENING CENTER - AL GALLERIA</t>
        </is>
      </c>
    </row>
    <row r="912">
      <c r="B912" s="22" t="inlineStr">
        <is>
          <t>MF7807 - EMSTEEL BUILDING MATERIALS  P.J.S.C.</t>
        </is>
      </c>
    </row>
    <row r="913">
      <c r="B913" s="22" t="inlineStr">
        <is>
          <t>MF7808 - AD-244</t>
        </is>
      </c>
    </row>
    <row r="914">
      <c r="B914" s="22" t="inlineStr">
        <is>
          <t>MF7816 - Al Bayan School Clinic – Sole Proprietorship L L C</t>
        </is>
      </c>
    </row>
    <row r="915">
      <c r="B915" s="22" t="inlineStr">
        <is>
          <t>MF7824 - SULTAN NATIONAL GENERAL  SERVICES ESTABLISHMENT</t>
        </is>
      </c>
    </row>
    <row r="916">
      <c r="B916" s="22" t="inlineStr">
        <is>
          <t>MF7829 - OFCO OFFSHORE SUPPORT &amp; LOGISTIC SERVICES L.L.C.</t>
        </is>
      </c>
    </row>
    <row r="917">
      <c r="B917" s="22" t="inlineStr">
        <is>
          <t>MF7852 - NEPHRO ARABIA HOME MEDICAL CARE SERVICES L.L.C.</t>
        </is>
      </c>
    </row>
    <row r="918">
      <c r="B918" s="22" t="inlineStr">
        <is>
          <t>MF7863 - AD-174</t>
        </is>
      </c>
    </row>
    <row r="919">
      <c r="B919" s="22" t="inlineStr">
        <is>
          <t>MF7903 - AD - 218</t>
        </is>
      </c>
    </row>
    <row r="920">
      <c r="B920" s="22" t="inlineStr">
        <is>
          <t xml:space="preserve">MF7948 - OSTEOPATHIC PERFECT BALANCE  MEDICAL CENTER LTD </t>
        </is>
      </c>
    </row>
    <row r="921">
      <c r="B921" s="22" t="inlineStr">
        <is>
          <t>MF1103 - ADAM &amp; EVE SPECIALIZED MEDICAL CENTRE L.L.C</t>
        </is>
      </c>
    </row>
    <row r="922">
      <c r="B922" s="22" t="inlineStr">
        <is>
          <t>MF7985 - BURJEEL FIRSTAID CLINIC AL RAWDA - L.L.C</t>
        </is>
      </c>
    </row>
    <row r="923">
      <c r="B923" s="22" t="inlineStr">
        <is>
          <t>MF7990 - AD - 130 Clinic</t>
        </is>
      </c>
    </row>
    <row r="924">
      <c r="B924" s="22" t="inlineStr">
        <is>
          <t>MF5718 - FREQUENT MEDICAL FACILITIES MANAGEMENT - L.L.C - O.P.C</t>
        </is>
      </c>
    </row>
    <row r="925">
      <c r="B925" s="22" t="inlineStr">
        <is>
          <t>MF7995 - VISIONARY  CLINIC  MEDICAL  - L.L.C - O.P.C</t>
        </is>
      </c>
    </row>
    <row r="926">
      <c r="B926" s="22" t="inlineStr">
        <is>
          <t>MF8004 - STRATA MANUFACTURING - P J S C</t>
        </is>
      </c>
    </row>
    <row r="927">
      <c r="B927" s="22" t="inlineStr">
        <is>
          <t>MF7911 - AL FAYHAA KG Clinic</t>
        </is>
      </c>
    </row>
    <row r="928">
      <c r="B928" s="22" t="inlineStr">
        <is>
          <t>MF7875 - BACK TO ROOTS AYURVEDA BY DR SHYAM  - L.L.C</t>
        </is>
      </c>
    </row>
    <row r="929">
      <c r="B929" s="22" t="inlineStr">
        <is>
          <t>MF8087 - UNICARE MEDICAL TRADING SOLE PROPRIETORSHIP- L.L.C- BRANCH - BRANCH OF ABU DHABI 1</t>
        </is>
      </c>
    </row>
    <row r="930">
      <c r="B930" s="22" t="inlineStr">
        <is>
          <t>MF7951 - FIVE SENSES CENTER FOR SPEECH PHYSIO AND OCCUPATIONAL THERAPY</t>
        </is>
      </c>
    </row>
    <row r="931">
      <c r="B931" s="22" t="inlineStr">
        <is>
          <t>MF8135 - AYUR CARE AYURVEDIC HEALTH CENTRE - L.L.C</t>
        </is>
      </c>
    </row>
    <row r="932">
      <c r="B932" s="22" t="inlineStr">
        <is>
          <t>MF772 - NATIONAL HOSPITAL  - PROPRIETORSHIP L.L.C</t>
        </is>
      </c>
    </row>
    <row r="933">
      <c r="B933" s="22" t="inlineStr">
        <is>
          <t>MF8188  - MIAMI MEDICAL CENTER - L.L.C - S.P.C</t>
        </is>
      </c>
    </row>
    <row r="934">
      <c r="B934" s="22" t="inlineStr">
        <is>
          <t>MF8323 - UNITY CARES MEDICAL CENTER - L.L.C</t>
        </is>
      </c>
    </row>
    <row r="935">
      <c r="B935" s="22" t="inlineStr">
        <is>
          <t>MF8060 - Reem Hospital LLC - Mobile Clinic</t>
        </is>
      </c>
    </row>
    <row r="936">
      <c r="B936" s="22" t="inlineStr">
        <is>
          <t>MF8249 - CLINIC OF ALAIN PHARMACY - SOLE PROPRIETORSHIP L.L.C.- BRANCH 18</t>
        </is>
      </c>
    </row>
    <row r="937">
      <c r="B937" s="22" t="inlineStr">
        <is>
          <t>MF8212 - UNITED AMBULANCES AMBULANCE SERVICES - SOLE PROPRIETORSHIP L.L.C.</t>
        </is>
      </c>
    </row>
    <row r="938">
      <c r="B938" s="22" t="inlineStr">
        <is>
          <t>MF8244 - QUIRONSALUD SPECIALITY HOSPITAL L.L.C - BRANCH OF ABU DHABI</t>
        </is>
      </c>
    </row>
    <row r="939">
      <c r="B939" s="22" t="inlineStr">
        <is>
          <t>MF8503 - Al Shamkhah City School Clinic 2</t>
        </is>
      </c>
    </row>
    <row r="940">
      <c r="B940" s="22" t="inlineStr">
        <is>
          <t>MF8511 - MIRAJ GENERAL TRANSPORTING</t>
        </is>
      </c>
    </row>
    <row r="941">
      <c r="B941" s="22" t="inlineStr">
        <is>
          <t>MF8523 - LE NOIR AESTHETICS CLINIC - L.L.C - S.P.C</t>
        </is>
      </c>
    </row>
    <row r="942">
      <c r="B942" s="22" t="inlineStr">
        <is>
          <t>MF8571 - AIN ALEMARAT SPECIALIZED HOSPITAL - L.L.C - S.P.C</t>
        </is>
      </c>
    </row>
    <row r="943">
      <c r="B943" s="22" t="inlineStr">
        <is>
          <t>MF8580 - DERMAZONE LASER AND COSMETIC CENTER  - SOLE PROPRIETORSHIP L.L.C. - BRANCH</t>
        </is>
      </c>
    </row>
    <row r="944">
      <c r="B944" s="22" t="inlineStr">
        <is>
          <t>MF635 - SPECILAIZED UNEVERSITY MEDICAL CENTRE L.L.C</t>
        </is>
      </c>
    </row>
    <row r="945">
      <c r="B945" s="22" t="inlineStr">
        <is>
          <t>MF2084 - TOWN PRIMARY HEALTH CARE CENTER</t>
        </is>
      </c>
    </row>
    <row r="946">
      <c r="B946" s="22" t="inlineStr">
        <is>
          <t>MF2316 - TIEEBA HOSPITAL</t>
        </is>
      </c>
    </row>
    <row r="947">
      <c r="B947" s="22" t="inlineStr">
        <is>
          <t>MF1252 - SPECIALIZED CHINESE NATUROPATHY CENTRE</t>
        </is>
      </c>
    </row>
    <row r="948">
      <c r="B948" s="22" t="inlineStr">
        <is>
          <t>MF578 - STAR MEDICAL CENTER L.L.C.</t>
        </is>
      </c>
    </row>
    <row r="949">
      <c r="B949" s="22" t="inlineStr">
        <is>
          <t>MF2064 - SILA HOSPITAL</t>
        </is>
      </c>
    </row>
    <row r="950">
      <c r="B950" s="22" t="inlineStr">
        <is>
          <t>MF1516 - SINA  MEDICAL CENTRE</t>
        </is>
      </c>
    </row>
    <row r="951">
      <c r="B951" s="22" t="inlineStr">
        <is>
          <t>MF1491 - SASAN OPHTHALMIC SPECIALIZED CLINIC - L.L.C - S.P.C</t>
        </is>
      </c>
    </row>
    <row r="952">
      <c r="B952" s="22" t="inlineStr">
        <is>
          <t>MF1259 - SHAMIS CHINES CENTRE</t>
        </is>
      </c>
    </row>
    <row r="953">
      <c r="B953" s="22" t="inlineStr">
        <is>
          <t>MF460 - SHAWKAT SHAFIK CLINIC</t>
        </is>
      </c>
    </row>
    <row r="954">
      <c r="B954" s="22" t="inlineStr">
        <is>
          <t>MF2076 - ROYAL SPANISH CENTER LASIK EYES &amp; COSMETIC- L L C</t>
        </is>
      </c>
    </row>
    <row r="955">
      <c r="B955" s="22" t="inlineStr">
        <is>
          <t>MF2317 - ROYAL JET - L L C CLINIC</t>
        </is>
      </c>
    </row>
    <row r="956">
      <c r="B956" s="22" t="inlineStr">
        <is>
          <t>MF2462 - QSM HOSPITAL</t>
        </is>
      </c>
    </row>
    <row r="957">
      <c r="B957" s="22" t="inlineStr">
        <is>
          <t>MF415 - PIONEER MEDICAL CLINIC</t>
        </is>
      </c>
    </row>
    <row r="958">
      <c r="B958" s="22" t="inlineStr">
        <is>
          <t>MF1538 - NEW GENERAL MEDICAL CENTER - MUSSAFAH</t>
        </is>
      </c>
    </row>
    <row r="959">
      <c r="B959" s="22" t="inlineStr">
        <is>
          <t>MF796 - NEW HYDERABAD PRIMARY HEALTHCARE CENTRE L.L.C.</t>
        </is>
      </c>
    </row>
    <row r="960">
      <c r="B960" s="22" t="inlineStr">
        <is>
          <t>MF688 - NAZAR CLINIC</t>
        </is>
      </c>
    </row>
    <row r="961">
      <c r="B961" s="22" t="inlineStr">
        <is>
          <t>MF2294 - MOHAMED AL JUNAIBI MEDICAL HOSPITAL</t>
        </is>
      </c>
    </row>
    <row r="962">
      <c r="B962" s="22" t="inlineStr">
        <is>
          <t>MF1490 - MOWAIGEI HOSPITAL</t>
        </is>
      </c>
    </row>
    <row r="963">
      <c r="B963" s="22" t="inlineStr">
        <is>
          <t>MF2452 - MY HEALTH MEDICAL CENTER - SOLE PROPRIETORSHIP L.L.C.</t>
        </is>
      </c>
    </row>
    <row r="964">
      <c r="B964" s="22" t="inlineStr">
        <is>
          <t xml:space="preserve">MF2360 - MAGRABI EYE AND EAR CENTER DAYCARE SURGERIES - L.L.C - O.P.C - BRANCH </t>
        </is>
      </c>
    </row>
    <row r="965">
      <c r="B965" s="22" t="inlineStr">
        <is>
          <t>MF2383 - Al Madina Occupational Health Center</t>
        </is>
      </c>
    </row>
    <row r="966">
      <c r="B966" s="22" t="inlineStr">
        <is>
          <t>MF734 - MADINA ZAYED AL AHLI MEDICAL CENTRE</t>
        </is>
      </c>
    </row>
    <row r="967">
      <c r="B967" s="22" t="inlineStr">
        <is>
          <t>MF948 - JAMILA MEDICAL CENTRE</t>
        </is>
      </c>
    </row>
    <row r="968">
      <c r="B968" s="22" t="inlineStr">
        <is>
          <t>MF1956 - KASHMIR MEDICAL CLINIC</t>
        </is>
      </c>
    </row>
    <row r="969">
      <c r="B969" s="22" t="inlineStr">
        <is>
          <t>MF1655 - HOSPITAL ALRAZY</t>
        </is>
      </c>
    </row>
    <row r="970">
      <c r="B970" s="22" t="inlineStr">
        <is>
          <t>MF1255 - IBN AL QAEM PHYSIOTHRAPY CENTRE</t>
        </is>
      </c>
    </row>
    <row r="971">
      <c r="B971" s="22" t="inlineStr">
        <is>
          <t>MF281 - IMAN PRIVATE SCHOOL</t>
        </is>
      </c>
    </row>
    <row r="972">
      <c r="B972" s="22" t="inlineStr">
        <is>
          <t>MF2219 - HARMOONI HOSPITAL</t>
        </is>
      </c>
    </row>
    <row r="973">
      <c r="B973" s="22" t="inlineStr">
        <is>
          <t>MF2276 - UMNIYA WOMENS HEALTH CENTER - L.L.C -S.P.C</t>
        </is>
      </c>
    </row>
    <row r="974">
      <c r="B974" s="22" t="inlineStr">
        <is>
          <t>MF1366 - GULF PHYSIOTHERAPY CENTRE</t>
        </is>
      </c>
    </row>
    <row r="975">
      <c r="B975" s="22" t="inlineStr">
        <is>
          <t>MF1972 - ABU DHABI AIRCRAFT TECHNOLOGIES LLC CLINIC</t>
        </is>
      </c>
    </row>
    <row r="976">
      <c r="B976" s="22" t="inlineStr">
        <is>
          <t>MF257 - STANFORD MEDICAL CENTER - SOLE PROPRIETORSHIP L.L.C.</t>
        </is>
      </c>
    </row>
    <row r="977">
      <c r="B977" s="22" t="inlineStr">
        <is>
          <t>MF235 - EMIRATES POLY CLINIC</t>
        </is>
      </c>
    </row>
    <row r="978">
      <c r="B978" s="22" t="inlineStr">
        <is>
          <t>MF1544 - EMIRATESS ISIS CLINIC  FOR FERTILIZATION  TREATMENT  OF INFERTILITY</t>
        </is>
      </c>
    </row>
    <row r="979">
      <c r="B979" s="22" t="inlineStr">
        <is>
          <t>MF2381 - SAKINA FOR CHILDREN</t>
        </is>
      </c>
    </row>
    <row r="980">
      <c r="B980" s="22" t="inlineStr">
        <is>
          <t>MF231 - AIN AL KHALEEJ MEDICAL CENTER - L.L.C - S.P.C</t>
        </is>
      </c>
    </row>
    <row r="981">
      <c r="B981" s="22" t="inlineStr">
        <is>
          <t>MF2300 - EMIRATES CHINESE PHYSIOTHERAPY CENTRE</t>
        </is>
      </c>
    </row>
    <row r="982">
      <c r="B982" s="22" t="inlineStr">
        <is>
          <t>MF2368 - DR.LE GLOHAEC DENTAL CLINIC D-L-C</t>
        </is>
      </c>
    </row>
    <row r="983">
      <c r="B983" s="22" t="inlineStr">
        <is>
          <t>MF498 - DR.ZOHRA GULINAR CLINIC</t>
        </is>
      </c>
    </row>
    <row r="984">
      <c r="B984" s="22" t="inlineStr">
        <is>
          <t>MF285 - DR ISHAQ ZAKI AL DAJANI CLINIC</t>
        </is>
      </c>
    </row>
    <row r="985">
      <c r="B985" s="22" t="inlineStr">
        <is>
          <t>MF628 - DR. AHMED MEDICAL CLINIC</t>
        </is>
      </c>
    </row>
    <row r="986">
      <c r="B986" s="22" t="inlineStr">
        <is>
          <t>MF631 - DR. ASMA CLINIC</t>
        </is>
      </c>
    </row>
    <row r="987">
      <c r="B987" s="22" t="inlineStr">
        <is>
          <t>MF489 - DIAMOND DENTAL CLINIC</t>
        </is>
      </c>
    </row>
    <row r="988">
      <c r="B988" s="22" t="inlineStr">
        <is>
          <t>MF1924 - DODSAL  PTE.  LIMITED CLINIC</t>
        </is>
      </c>
    </row>
    <row r="989">
      <c r="B989" s="22" t="inlineStr">
        <is>
          <t>MF1938 - DOMANIAL DENTAL CENTER - SOLE PROPRIETORSHIP L.L.C.</t>
        </is>
      </c>
    </row>
    <row r="990">
      <c r="B990" s="22" t="inlineStr">
        <is>
          <t>MF2127 - ONE EIGHTY MEDICAL CENTER</t>
        </is>
      </c>
    </row>
    <row r="991">
      <c r="B991" s="22" t="inlineStr">
        <is>
          <t>MF555 - DAWN OPTIC.</t>
        </is>
      </c>
    </row>
    <row r="992">
      <c r="B992" s="22" t="inlineStr">
        <is>
          <t>MF1978 - DENTAL ART CLINIC</t>
        </is>
      </c>
    </row>
    <row r="993">
      <c r="B993" s="22" t="inlineStr">
        <is>
          <t>MF765 - DAOU DENTAL CENTER</t>
        </is>
      </c>
    </row>
    <row r="994">
      <c r="B994" s="22" t="inlineStr">
        <is>
          <t>MF2328 - DAR AL ZARQAA MEDICAL COMPLEX</t>
        </is>
      </c>
    </row>
    <row r="995">
      <c r="B995" s="22" t="inlineStr">
        <is>
          <t>MF1700 - COAST SPECIALIZED HOSPITAL</t>
        </is>
      </c>
    </row>
    <row r="996">
      <c r="B996" s="22" t="inlineStr">
        <is>
          <t>MF1715 - CAPITAL HOSPITAL FOR SPECIAL NEEDS</t>
        </is>
      </c>
    </row>
    <row r="997">
      <c r="B997" s="22" t="inlineStr">
        <is>
          <t>MF2061 - BAGHDAD CONSULTANT MEDICAL CENTER L.L.C.</t>
        </is>
      </c>
    </row>
    <row r="998">
      <c r="B998" s="22" t="inlineStr">
        <is>
          <t>MF2017 - BANIYAS HEALTHCARE CENTER</t>
        </is>
      </c>
    </row>
    <row r="999">
      <c r="B999" s="22" t="inlineStr">
        <is>
          <t>MF2380 - Al Bateen Healthcare Center</t>
        </is>
      </c>
    </row>
    <row r="1000">
      <c r="B1000" s="22" t="inlineStr">
        <is>
          <t>MF1509 - ALSELA MEDICAL CLINIC</t>
        </is>
      </c>
    </row>
    <row r="1001">
      <c r="B1001" s="22" t="inlineStr">
        <is>
          <t>MF1784 - ALTAQWA MEDICAL CENTRE</t>
        </is>
      </c>
    </row>
    <row r="1002">
      <c r="B1002" s="22" t="inlineStr">
        <is>
          <t>MF1803 - AL WAZEER MEDICAL CLINIC</t>
        </is>
      </c>
    </row>
    <row r="1003">
      <c r="B1003" s="22" t="inlineStr">
        <is>
          <t>MF1804 - AL YAMAMA ALTERNATIVE MEDICAL CENTRE</t>
        </is>
      </c>
    </row>
    <row r="1004">
      <c r="B1004" s="22" t="inlineStr">
        <is>
          <t>MF1550 - AL SROUR DENTAL CLINIC</t>
        </is>
      </c>
    </row>
    <row r="1005">
      <c r="B1005" s="22" t="inlineStr">
        <is>
          <t>MF2060 - AL WAGAN HOSPITAL</t>
        </is>
      </c>
    </row>
    <row r="1006">
      <c r="B1006" s="22" t="inlineStr">
        <is>
          <t>MF2501 - ROYAL HEALTH AL SALAM SPECIALIZED HOSPITAL  L.L.C.</t>
        </is>
      </c>
    </row>
    <row r="1007">
      <c r="B1007" s="22" t="inlineStr">
        <is>
          <t>MF2107 - Al Quaa HealthCare Center</t>
        </is>
      </c>
    </row>
    <row r="1008">
      <c r="B1008" s="22" t="inlineStr">
        <is>
          <t>MF679 - AL QUDRAH MEDICAL CENTRE</t>
        </is>
      </c>
    </row>
    <row r="1009">
      <c r="B1009" s="22" t="inlineStr">
        <is>
          <t>MF1589 - MEDICLINIC HOSPITALS L.L.C. O.P.C ( AL AIN BRANCH HOSPITAL )</t>
        </is>
      </c>
    </row>
    <row r="1010">
      <c r="B1010" s="22" t="inlineStr">
        <is>
          <t>MF1152 - AL NOOR OPTICALS</t>
        </is>
      </c>
    </row>
    <row r="1011">
      <c r="B1011" s="22" t="inlineStr">
        <is>
          <t>MF100 - AL MANSOOR MEDICAL CLINIC</t>
        </is>
      </c>
    </row>
    <row r="1012">
      <c r="B1012" s="22" t="inlineStr">
        <is>
          <t>MF1416 - AL- HANOOF MEDICAL CLINIC</t>
        </is>
      </c>
    </row>
    <row r="1013">
      <c r="B1013" s="22" t="inlineStr">
        <is>
          <t>MF1668 - AL HAYAR DENTAL CLINIC</t>
        </is>
      </c>
    </row>
    <row r="1014">
      <c r="B1014" s="22" t="inlineStr">
        <is>
          <t>MF962 - AL HUDA DENTAL CLINIC</t>
        </is>
      </c>
    </row>
    <row r="1015">
      <c r="B1015" s="22" t="inlineStr">
        <is>
          <t>MF1834 - Sama Al Esraa Medical center</t>
        </is>
      </c>
    </row>
    <row r="1016">
      <c r="B1016" s="22" t="inlineStr">
        <is>
          <t>MF1606 - AL FALAH NATURAL TREATMENT CENTRE</t>
        </is>
      </c>
    </row>
    <row r="1017">
      <c r="B1017" s="22" t="inlineStr">
        <is>
          <t>MF2195 - AL FARHAN MEDICAL CENTRE - L L C - BRANCH</t>
        </is>
      </c>
    </row>
    <row r="1018">
      <c r="B1018" s="22" t="inlineStr">
        <is>
          <t>MF1331 - AL- ATAYA MEDICAL CENTER</t>
        </is>
      </c>
    </row>
    <row r="1019">
      <c r="B1019" s="22" t="inlineStr">
        <is>
          <t>MF2259 - UNIVERSAL HOSPITAL - AL AIN L.L.C.</t>
        </is>
      </c>
    </row>
    <row r="1020">
      <c r="B1020" s="22" t="inlineStr">
        <is>
          <t>MF1030 - AL AIN INTERNATIONAL MEDICAL POLY CLINIC L.L.C</t>
        </is>
      </c>
    </row>
    <row r="1021">
      <c r="B1021" s="22" t="inlineStr">
        <is>
          <t>MF1155 - AL ALFIAH DENTAL CLINIC</t>
        </is>
      </c>
    </row>
    <row r="1022">
      <c r="B1022" s="22" t="inlineStr">
        <is>
          <t>MF42 - AL AMAL MEDICAL CENTRE L.LC</t>
        </is>
      </c>
    </row>
    <row r="1023">
      <c r="B1023" s="22" t="inlineStr">
        <is>
          <t>MF43 - AL AMAN DENTAL CLINIC</t>
        </is>
      </c>
    </row>
    <row r="1024">
      <c r="B1024" s="22" t="inlineStr">
        <is>
          <t>MF1943 - ABU DHABI KNEE AND SPORTS MEDICINE CENTER L.L.C</t>
        </is>
      </c>
    </row>
    <row r="1025">
      <c r="B1025" s="22" t="inlineStr">
        <is>
          <t>MF2050 - ABU AL ABYAD CLINIC</t>
        </is>
      </c>
    </row>
    <row r="1026">
      <c r="B1026" s="22" t="inlineStr">
        <is>
          <t>MF2377 - ABU DHABI DIALYSIS CENTER</t>
        </is>
      </c>
    </row>
    <row r="1027">
      <c r="B1027" s="22" t="inlineStr">
        <is>
          <t>MF665 - AL AFIYA MEDICALCENTRE</t>
        </is>
      </c>
    </row>
    <row r="1028">
      <c r="B1028" s="22" t="inlineStr">
        <is>
          <t>MF1917 - AL AHMADY MEDCIAL CENTER</t>
        </is>
      </c>
    </row>
    <row r="1029">
      <c r="B1029" s="22" t="inlineStr">
        <is>
          <t>MF2985 - AL KHAWARZMI SPECIALIZED HOSPITAL</t>
        </is>
      </c>
    </row>
    <row r="1030">
      <c r="B1030" s="22" t="inlineStr">
        <is>
          <t>MF2528 - AL CORNICHE WOMEN'S HEALTH CENTER</t>
        </is>
      </c>
    </row>
    <row r="1031">
      <c r="B1031" s="22" t="inlineStr">
        <is>
          <t>MF2943 - NMC WOMAN &amp; CHILD HOSPITAL L.L.C</t>
        </is>
      </c>
    </row>
    <row r="1032">
      <c r="B1032" s="22" t="inlineStr">
        <is>
          <t>MF2930 - KAYA SKIN CARE CLINIC- SOLE PROPRIETORSHIP L.L.C -BRANCH2</t>
        </is>
      </c>
    </row>
    <row r="1033">
      <c r="B1033" s="22" t="inlineStr">
        <is>
          <t>MF2947 - DOMANIAL HOSPITAL</t>
        </is>
      </c>
    </row>
    <row r="1034">
      <c r="B1034" s="22" t="inlineStr">
        <is>
          <t>MF3139 - ABU DHABI MEDICAL REHABILITATION CENTRE</t>
        </is>
      </c>
    </row>
    <row r="1035">
      <c r="B1035" s="22" t="inlineStr">
        <is>
          <t>MF3031 - AL MADAR INTERNATIONAL HOSPITAL</t>
        </is>
      </c>
    </row>
    <row r="1036">
      <c r="B1036" s="22" t="inlineStr">
        <is>
          <t>MF3104 - ROYAL SURGE MEDICAL POLYCLINICS L.L.C</t>
        </is>
      </c>
    </row>
    <row r="1037">
      <c r="B1037" s="22" t="inlineStr">
        <is>
          <t>MF3048 - N M C PROVITA INTERNATIONAL MEDICAL CENTER LTD- ABU DHABI</t>
        </is>
      </c>
    </row>
    <row r="1038">
      <c r="B1038" s="22" t="inlineStr">
        <is>
          <t>MF3044 - Sahel  Clinic</t>
        </is>
      </c>
    </row>
    <row r="1039">
      <c r="B1039" s="22" t="inlineStr">
        <is>
          <t>MF3132 - SPECIAL SECURITY HOSPITAL</t>
        </is>
      </c>
    </row>
    <row r="1040">
      <c r="B1040" s="22" t="inlineStr">
        <is>
          <t>MF412 - OPTICAL CENTRE</t>
        </is>
      </c>
    </row>
    <row r="1041">
      <c r="B1041" s="22" t="inlineStr">
        <is>
          <t xml:space="preserve">MF2222 - LLH HOSPITAL AL MUSAFFAH L.L.C </t>
        </is>
      </c>
    </row>
    <row r="1042">
      <c r="B1042" s="22" t="inlineStr">
        <is>
          <t>MF3164 - AL AIN FERTILITY CENTER - GENETIC DIAGNOSIS &amp; ASSISTED REPRODUCTIVE TECHNIQUES - L.L.C - S.P.C</t>
        </is>
      </c>
    </row>
    <row r="1043">
      <c r="B1043" s="22" t="inlineStr">
        <is>
          <t>MF3121 - AL RAZI PHARMACEUTICALS COMPANY -WLL</t>
        </is>
      </c>
    </row>
    <row r="1044">
      <c r="B1044" s="22" t="inlineStr">
        <is>
          <t>MF456 - SCANDCARE - SOLE PROPRIETORSHIP L.L.C.</t>
        </is>
      </c>
    </row>
    <row r="1045">
      <c r="B1045" s="22" t="inlineStr">
        <is>
          <t>MF2520 - ROYAL SMILE DENTAL CLINIC - L.L.C</t>
        </is>
      </c>
    </row>
    <row r="1046">
      <c r="B1046" s="22" t="inlineStr">
        <is>
          <t>MF2242 - PANORAMA DENTAL CLINIC</t>
        </is>
      </c>
    </row>
    <row r="1047">
      <c r="B1047" s="22" t="inlineStr">
        <is>
          <t>MF949 - NORA MEDICAL POLY CLINICS</t>
        </is>
      </c>
    </row>
    <row r="1048">
      <c r="B1048" s="22" t="inlineStr">
        <is>
          <t>MF367 - MUMTAZ CLINIC</t>
        </is>
      </c>
    </row>
    <row r="1049">
      <c r="B1049" s="22" t="inlineStr">
        <is>
          <t>MF1936 - MIZIRA MEDICAL CLINIC</t>
        </is>
      </c>
    </row>
    <row r="1050">
      <c r="B1050" s="22" t="inlineStr">
        <is>
          <t>MF2423 - LIFELINE HOSPITAL-LLC BRANCH</t>
        </is>
      </c>
    </row>
    <row r="1051">
      <c r="B1051" s="22" t="inlineStr">
        <is>
          <t>MF378 - DR. NABIL HALAWA CLINIC</t>
        </is>
      </c>
    </row>
    <row r="1052">
      <c r="B1052" s="22" t="inlineStr">
        <is>
          <t>MF423 - DAR AL SALAM DENTAL CLINIC</t>
        </is>
      </c>
    </row>
    <row r="1053">
      <c r="B1053" s="22" t="inlineStr">
        <is>
          <t>MF1913 - MEDEOR MEDICAL CENTRE - L.L.C</t>
        </is>
      </c>
    </row>
    <row r="1054">
      <c r="B1054" s="22" t="inlineStr">
        <is>
          <t>MF2321 - ALFALAH HEALTH CARE LLC</t>
        </is>
      </c>
    </row>
    <row r="1055">
      <c r="B1055" s="22" t="inlineStr">
        <is>
          <t>MF1568 - ALSALHIA MEDICAL PHYSIOTHERAPEUTICAL</t>
        </is>
      </c>
    </row>
    <row r="1056">
      <c r="B1056" s="22" t="inlineStr">
        <is>
          <t>MF2322 - ALQADI MEDICAL CENTER-LLC</t>
        </is>
      </c>
    </row>
    <row r="1057">
      <c r="B1057" s="22" t="inlineStr">
        <is>
          <t>MF2034 - Al Nahda HealthCare Center</t>
        </is>
      </c>
    </row>
    <row r="1058">
      <c r="B1058" s="22" t="inlineStr">
        <is>
          <t>MF1941 - NEW UNIVERSITY DENTAL CENTRE - L.L.C-S.P.C</t>
        </is>
      </c>
    </row>
    <row r="1059">
      <c r="B1059" s="22" t="inlineStr">
        <is>
          <t>MF1217 - AL MAHABBA DENTAL CLINIC</t>
        </is>
      </c>
    </row>
    <row r="1060">
      <c r="B1060" s="22" t="inlineStr">
        <is>
          <t>MF756 - AL MANARA DENTAL CLINIC - SOLE PROPRIETORSHIP L.L.C</t>
        </is>
      </c>
    </row>
    <row r="1061">
      <c r="B1061" s="22" t="inlineStr">
        <is>
          <t>MF77 - AL HAITHAMI SPECIALIZED MEDICAL CENTRE</t>
        </is>
      </c>
    </row>
    <row r="1062">
      <c r="B1062" s="22" t="inlineStr">
        <is>
          <t xml:space="preserve">MF1166 - DAS Medical Centre </t>
        </is>
      </c>
    </row>
    <row r="1063">
      <c r="B1063" s="22" t="inlineStr">
        <is>
          <t>MF799 - Al Hosn One Day Surgery Center L.L.C</t>
        </is>
      </c>
    </row>
    <row r="1064">
      <c r="B1064" s="22" t="inlineStr">
        <is>
          <t>MF41 - AL AIN ADVANCED DENTAL CENTRE</t>
        </is>
      </c>
    </row>
    <row r="1065">
      <c r="B1065" s="22" t="inlineStr">
        <is>
          <t>MF2616 - AALIYA SPECIALIZED MEDICAL CENTRE</t>
        </is>
      </c>
    </row>
    <row r="1066">
      <c r="B1066" s="22" t="inlineStr">
        <is>
          <t>MF2581 - ADNOC PETROLEUM INSSTITUTE CLINIC</t>
        </is>
      </c>
    </row>
    <row r="1067">
      <c r="B1067" s="22" t="inlineStr">
        <is>
          <t>MF2967 - EMIRATES INTERNATIONAL MEDICAL SERVICES L.L.C</t>
        </is>
      </c>
    </row>
    <row r="1068">
      <c r="B1068" s="22" t="inlineStr">
        <is>
          <t>MF2568 - SEHA Kidney Care Center - Central</t>
        </is>
      </c>
    </row>
    <row r="1069">
      <c r="B1069" s="22" t="inlineStr">
        <is>
          <t>MF2542 - SHADI INTERNAIONAL DENTAL &amp; ORTHODONTIC  CENTER L.L.C</t>
        </is>
      </c>
    </row>
    <row r="1070">
      <c r="B1070" s="22" t="inlineStr">
        <is>
          <t>MF2599 - DAVINCI DENTAL CENTRE L.L.C.</t>
        </is>
      </c>
    </row>
    <row r="1071">
      <c r="B1071" s="22" t="inlineStr">
        <is>
          <t>MF3079 - CHARM LASER CARE CENTRE-L.L.C</t>
        </is>
      </c>
    </row>
    <row r="1072">
      <c r="B1072" s="22" t="inlineStr">
        <is>
          <t>MF3183 - SLEEP DISORDERS SPECIALIZED CLINIC</t>
        </is>
      </c>
    </row>
    <row r="1073">
      <c r="B1073" s="22" t="inlineStr">
        <is>
          <t>MF1092 - DOCTOR FATIN FERIDUN ORTHODONTIC AND DENTAL CENTER SS -L.L.C- O.P.C</t>
        </is>
      </c>
    </row>
    <row r="1074">
      <c r="B1074" s="22" t="inlineStr">
        <is>
          <t>MF2097 - Al Faqa HealthCare Center</t>
        </is>
      </c>
    </row>
    <row r="1075">
      <c r="B1075" s="22" t="inlineStr">
        <is>
          <t>MF1647 - AL AWADA CLINIC FOR UROLOGY  &amp; INFERTILITY L L C</t>
        </is>
      </c>
    </row>
    <row r="1076">
      <c r="B1076" s="22" t="inlineStr">
        <is>
          <t>MF2983 - HORIZON HEALTHCARE SERVICES-SOLE PROPRIETORSHIP L.L.C.</t>
        </is>
      </c>
    </row>
    <row r="1077">
      <c r="B1077" s="22" t="inlineStr">
        <is>
          <t>MF3199 - SAFE CARE DENTAL CENTER L.L.C</t>
        </is>
      </c>
    </row>
    <row r="1078">
      <c r="B1078" s="22" t="inlineStr">
        <is>
          <t>MF3200 - Al Noor Hospital Clinics - Al Mafraq</t>
        </is>
      </c>
    </row>
    <row r="1079">
      <c r="B1079" s="22" t="inlineStr">
        <is>
          <t>MF3216 - LIFELINE MEDICAL CLINIC L.L.C.</t>
        </is>
      </c>
    </row>
    <row r="1080">
      <c r="B1080" s="22" t="inlineStr">
        <is>
          <t>MF3223 - AL DHAFRA HOSPITALS</t>
        </is>
      </c>
    </row>
    <row r="1081">
      <c r="B1081" s="22" t="inlineStr">
        <is>
          <t>MF3245 - Manchester international medical center L.L.c</t>
        </is>
      </c>
    </row>
    <row r="1082">
      <c r="B1082" s="22" t="inlineStr">
        <is>
          <t>MF3266 - OBAGI MEDICAL L.L.C.</t>
        </is>
      </c>
    </row>
    <row r="1083">
      <c r="B1083" s="22" t="inlineStr">
        <is>
          <t>MF3272 - AL AJBAN MENTAL HEALTH HOSPITAL L.L.C</t>
        </is>
      </c>
    </row>
    <row r="1084">
      <c r="B1084" s="22" t="inlineStr">
        <is>
          <t>MF3274 - SHIFA AL EMARAT HOME HEALTH CARE L.L.C.</t>
        </is>
      </c>
    </row>
    <row r="1085">
      <c r="B1085" s="22" t="inlineStr">
        <is>
          <t>MF3285 - Al Ain - American Medical Polyclinics L.L.C.</t>
        </is>
      </c>
    </row>
    <row r="1086">
      <c r="B1086" s="22" t="inlineStr">
        <is>
          <t>MF3303 - SMILE RITE DENTAL CARE L.L.C</t>
        </is>
      </c>
    </row>
    <row r="1087">
      <c r="B1087" s="22" t="inlineStr">
        <is>
          <t>MF1948 - DOCTORS FOR VITALITY CLINICS</t>
        </is>
      </c>
    </row>
    <row r="1088">
      <c r="B1088" s="22" t="inlineStr">
        <is>
          <t>MF27 - AHMED EZZAT CLINIC</t>
        </is>
      </c>
    </row>
    <row r="1089">
      <c r="B1089" s="22" t="inlineStr">
        <is>
          <t>MF2936 - AL BASHAIR MEDICAL POLYCLINIC</t>
        </is>
      </c>
    </row>
    <row r="1090">
      <c r="B1090" s="22" t="inlineStr">
        <is>
          <t>MF3320 - HEALTH &amp; LIFE MEDICAL CENTER</t>
        </is>
      </c>
    </row>
    <row r="1091">
      <c r="B1091" s="22" t="inlineStr">
        <is>
          <t>MF2415 - PROVITA HEALTH CARE SERVICES LLC</t>
        </is>
      </c>
    </row>
    <row r="1092">
      <c r="B1092" s="22" t="inlineStr">
        <is>
          <t>MF405 - OASIS MEDICAL CENTRE L.L.C.</t>
        </is>
      </c>
    </row>
    <row r="1093">
      <c r="B1093" s="22" t="inlineStr">
        <is>
          <t>MF1680 - Dubai Smile Dental Clinic L.L.C</t>
        </is>
      </c>
    </row>
    <row r="1094">
      <c r="B1094" s="22" t="inlineStr">
        <is>
          <t>MF502 - EMIRATES AUDIO  LAB CENTRE</t>
        </is>
      </c>
    </row>
    <row r="1095">
      <c r="B1095" s="22" t="inlineStr">
        <is>
          <t>MF278 - DR IBRAHIM AWAD CLINIC</t>
        </is>
      </c>
    </row>
    <row r="1096">
      <c r="B1096" s="22" t="inlineStr">
        <is>
          <t>MF222 - DISI KNEE SURGERY  ARTHROSCOPY CENTRE</t>
        </is>
      </c>
    </row>
    <row r="1097">
      <c r="B1097" s="22" t="inlineStr">
        <is>
          <t>MF2410 - CLEOPATRA MEDI SPA</t>
        </is>
      </c>
    </row>
    <row r="1098">
      <c r="B1098" s="22" t="inlineStr">
        <is>
          <t>MF2406 - BRITISH EMIRATES  HOSPITAL</t>
        </is>
      </c>
    </row>
    <row r="1099">
      <c r="B1099" s="22" t="inlineStr">
        <is>
          <t>MF175 - ASMAT DENTAL MEDICAL CENTER - L.L.C - S.P.C</t>
        </is>
      </c>
    </row>
    <row r="1100">
      <c r="B1100" s="22" t="inlineStr">
        <is>
          <t>MF2429 - AL SAADIYAT HOSPITAL</t>
        </is>
      </c>
    </row>
    <row r="1101">
      <c r="B1101" s="22" t="inlineStr">
        <is>
          <t>MF1410 - POINT ZERO FLOATATION CENTER</t>
        </is>
      </c>
    </row>
    <row r="1102">
      <c r="B1102" s="22" t="inlineStr">
        <is>
          <t>MF6 - ABDUL FATTAH TAYEH CLINIC</t>
        </is>
      </c>
    </row>
    <row r="1103">
      <c r="B1103" s="22" t="inlineStr">
        <is>
          <t>MF16 - ABU DHABI MEDICAL CENTRE</t>
        </is>
      </c>
    </row>
    <row r="1104">
      <c r="B1104" s="22" t="inlineStr">
        <is>
          <t>MF3186 - NMC ROYAL WOMENS HOSPITAL LTD</t>
        </is>
      </c>
    </row>
    <row r="1105">
      <c r="B1105" s="22" t="inlineStr">
        <is>
          <t>MF1641 - TARIQ_MI</t>
        </is>
      </c>
    </row>
    <row r="1106">
      <c r="B1106" s="22" t="inlineStr">
        <is>
          <t>MF824 - SAIF AL KHAILI MEDICAL CENTRE</t>
        </is>
      </c>
    </row>
    <row r="1107">
      <c r="B1107" s="22" t="inlineStr">
        <is>
          <t>MF1911 - MODERN SWEIHAN MEDICAL CENTRE</t>
        </is>
      </c>
    </row>
    <row r="1108">
      <c r="B1108" s="22" t="inlineStr">
        <is>
          <t>MF2330 - MAKKAH SPECIALIZED MEDICAL CENTRE - BRANCH  1</t>
        </is>
      </c>
    </row>
    <row r="1109">
      <c r="B1109" s="22" t="inlineStr">
        <is>
          <t>MF1340 - AL RAYYAN MEDICAL CENTER -SOLE PROPRIETORSHIP L.L.C.</t>
        </is>
      </c>
    </row>
    <row r="1110">
      <c r="B1110" s="22" t="inlineStr">
        <is>
          <t>MF1929 - TOUCH OF HEALTH MEDICAL POLYCLINIC L.L.C.</t>
        </is>
      </c>
    </row>
    <row r="1111">
      <c r="B1111" s="22" t="inlineStr">
        <is>
          <t>MF1553 - AL MARIA MEDICAL CENTRE L.L.C.</t>
        </is>
      </c>
    </row>
    <row r="1112">
      <c r="B1112" s="22" t="inlineStr">
        <is>
          <t>MF2964 - UNIQUE MEDICAL CENTER</t>
        </is>
      </c>
    </row>
    <row r="1113">
      <c r="B1113" s="22" t="inlineStr">
        <is>
          <t>MF2527 - AMBULATORY HEALTH CARE- PROVISION OF HELTH SERVICE OFFICE</t>
        </is>
      </c>
    </row>
    <row r="1114">
      <c r="B1114" s="22" t="inlineStr">
        <is>
          <t>MF3180 - AL NOOR HOSPITAL CLINICS - ALAIN - AL-YAHAR BRANCH</t>
        </is>
      </c>
    </row>
    <row r="1115">
      <c r="B1115" s="22" t="inlineStr">
        <is>
          <t>MF3288 - ARABIAN CONSTRUCTION COMPANY CLINIC - W L L_1</t>
        </is>
      </c>
    </row>
    <row r="1116">
      <c r="B1116" s="22" t="inlineStr">
        <is>
          <t>MF3329 - AL FALAH HEALTHCARE CENTRE</t>
        </is>
      </c>
    </row>
    <row r="1117">
      <c r="B1117" s="22" t="inlineStr">
        <is>
          <t>MF3543 - MOBILE EMIRATES CLINIC</t>
        </is>
      </c>
    </row>
    <row r="1118">
      <c r="B1118" s="22" t="inlineStr">
        <is>
          <t>MF3555 - CENTURY HOSPITAL.</t>
        </is>
      </c>
    </row>
    <row r="1119">
      <c r="B1119" s="22" t="inlineStr">
        <is>
          <t>MF3563 - YAS HEALTH CARE L.L.C</t>
        </is>
      </c>
    </row>
    <row r="1120">
      <c r="B1120" s="22" t="inlineStr">
        <is>
          <t xml:space="preserve">MF3843 - GOLDEN CENTAR HOME CARE SERVICE  </t>
        </is>
      </c>
    </row>
    <row r="1121">
      <c r="B1121" s="22" t="inlineStr">
        <is>
          <t>MF3336 - CAPITAL MEDICAL CENTRE FOR HEALTH SCREENING MOBILE UNIT NO.1</t>
        </is>
      </c>
    </row>
    <row r="1122">
      <c r="B1122" s="22" t="inlineStr">
        <is>
          <t>MF3547 - AL NOOR HOSPITAL CLINIC - HIGHER COLLEGES OF TECHNOLOGY FOR STUDENT</t>
        </is>
      </c>
    </row>
    <row r="1123">
      <c r="B1123" s="22" t="inlineStr">
        <is>
          <t>MF3579 - AL NAKHEEL HELTH CENTER L.L.C</t>
        </is>
      </c>
    </row>
    <row r="1124">
      <c r="B1124" s="22" t="inlineStr">
        <is>
          <t>MF3541 - AL SAFWA HEALTHCARE L.L.C.</t>
        </is>
      </c>
    </row>
    <row r="1125">
      <c r="B1125" s="22" t="inlineStr">
        <is>
          <t>MF3573 - CLINICS - MEDICLINIC HOSPITALS L.L.C. O.P.C- ( ZAKHER )</t>
        </is>
      </c>
    </row>
    <row r="1126">
      <c r="B1126" s="22" t="inlineStr">
        <is>
          <t>MF3578 - SAHARA  MEDICAL  CENTER L.L.C Managed by LLH HOSPITAL AL MUSAFFAH L.L.C</t>
        </is>
      </c>
    </row>
    <row r="1127">
      <c r="B1127" s="22" t="inlineStr">
        <is>
          <t>MF3659 - ROYAL MEDICAL CITY</t>
        </is>
      </c>
    </row>
    <row r="1128">
      <c r="B1128" s="22" t="inlineStr">
        <is>
          <t>MF3738 - FAKIH MEDICAL CENTER L.L.C</t>
        </is>
      </c>
    </row>
    <row r="1129">
      <c r="B1129" s="22" t="inlineStr">
        <is>
          <t>MF3621 - EXTRA CARE MEDICAL CENTRE L.L.C</t>
        </is>
      </c>
    </row>
    <row r="1130">
      <c r="B1130" s="22" t="inlineStr">
        <is>
          <t>MF3639 - KOREA ELECTRIC POWER CORPORATION - BARAKAH VILLAGE1(V1) MEDICAL CENTER</t>
        </is>
      </c>
    </row>
    <row r="1131">
      <c r="B1131" s="22" t="inlineStr">
        <is>
          <t>MF3661 - NOOR AL MADEENA MEDICAL CENTER</t>
        </is>
      </c>
    </row>
    <row r="1132">
      <c r="B1132" s="22" t="inlineStr">
        <is>
          <t>MF3664 - CANADIAN MEDICAL&amp; REHABILATION CENTER L.L.C</t>
        </is>
      </c>
    </row>
    <row r="1133">
      <c r="B1133" s="22" t="inlineStr">
        <is>
          <t>MF3658 - MEDICLINIC HOSPITALS - AL BATEEN CLINICS</t>
        </is>
      </c>
    </row>
    <row r="1134">
      <c r="B1134" s="22" t="inlineStr">
        <is>
          <t>MF3673 - BANGKOK HOME HEALTH CARE SERVICES L.L.C</t>
        </is>
      </c>
    </row>
    <row r="1135">
      <c r="B1135" s="22" t="inlineStr">
        <is>
          <t>MF3341 - SMART HEALTH CLINIC L.L.C.</t>
        </is>
      </c>
    </row>
    <row r="1136">
      <c r="B1136" s="22" t="inlineStr">
        <is>
          <t>MF3690 - AL DAWWA MEDICAL CENTER L.L.C.</t>
        </is>
      </c>
    </row>
    <row r="1137">
      <c r="B1137" s="22" t="inlineStr">
        <is>
          <t>MF4104 - EMIRATES ADVANCED REHABILITATION OF CHILDREN CENTER</t>
        </is>
      </c>
    </row>
    <row r="1138">
      <c r="B1138" s="22" t="inlineStr">
        <is>
          <t>MF3737 - NEXT CARE NURSING &amp; HEALTH CARE</t>
        </is>
      </c>
    </row>
    <row r="1139">
      <c r="B1139" s="22" t="inlineStr">
        <is>
          <t>MF3736 - INTERNATIONAL SPECALIZED FOR CHILDREN CENTER L.L.C.</t>
        </is>
      </c>
    </row>
    <row r="1140">
      <c r="B1140" s="22" t="inlineStr">
        <is>
          <t>MF3585 - Emirates National Health Services L.L.C.</t>
        </is>
      </c>
    </row>
    <row r="1141">
      <c r="B1141" s="22" t="inlineStr">
        <is>
          <t>MF3772 - AMERICARE L.L.C</t>
        </is>
      </c>
    </row>
    <row r="1142">
      <c r="B1142" s="22" t="inlineStr">
        <is>
          <t>MF3827 - MANZIL HOME HEALTH SERVICES L.L.C. - BRANCH 1</t>
        </is>
      </c>
    </row>
    <row r="1143">
      <c r="B1143" s="22" t="inlineStr">
        <is>
          <t>MF3837 - UME GROUP LLP L.L.C</t>
        </is>
      </c>
    </row>
    <row r="1144">
      <c r="B1144" s="22" t="inlineStr">
        <is>
          <t>MF3834 - LIFE SPECIALST HOSPITAL</t>
        </is>
      </c>
    </row>
    <row r="1145">
      <c r="B1145" s="22" t="inlineStr">
        <is>
          <t>MF3807 - DAWNE MEDICAL CENTER</t>
        </is>
      </c>
    </row>
    <row r="1146">
      <c r="B1146" s="22" t="inlineStr">
        <is>
          <t>MF3831 - MEDICLINIC CORNICHE MEDICAL CENTRE L.L.C.</t>
        </is>
      </c>
    </row>
    <row r="1147">
      <c r="B1147" s="22" t="inlineStr">
        <is>
          <t>MF3849 - ALNOOR HOSPITAL MEDICAL CENTER - ALSALAM LIVING CITY</t>
        </is>
      </c>
    </row>
    <row r="1148">
      <c r="B1148" s="22" t="inlineStr">
        <is>
          <t>MF3894 - FOREVER YOUNG MEDICAL CENTER L.L.C</t>
        </is>
      </c>
    </row>
    <row r="1149">
      <c r="B1149" s="22" t="inlineStr">
        <is>
          <t>MF3867 - INTERNATIONAL KNEE &amp; JOINT CENTRE L.L.C.</t>
        </is>
      </c>
    </row>
    <row r="1150">
      <c r="B1150" s="22" t="inlineStr">
        <is>
          <t>MF3896 - U.S.EXPERIENCE HOME HEALTH CARE - SOLE PROPRIETORSHIP L.L.C.</t>
        </is>
      </c>
    </row>
    <row r="1151">
      <c r="B1151" s="22" t="inlineStr">
        <is>
          <t>MF3911 - EMIRATE SWEDISH MEDICAL CENTER L.L.C</t>
        </is>
      </c>
    </row>
    <row r="1152">
      <c r="B1152" s="22" t="inlineStr">
        <is>
          <t xml:space="preserve">MF3919 - L.L.H. MOBILE MEDICAL UNIT L.L.C. </t>
        </is>
      </c>
    </row>
    <row r="1153">
      <c r="B1153" s="22" t="inlineStr">
        <is>
          <t>MF3966 - MUBARAK DAY SURGERY CENTER</t>
        </is>
      </c>
    </row>
    <row r="1154">
      <c r="B1154" s="22" t="inlineStr">
        <is>
          <t>MF3965 - AMAN INTEGRATED SOLUTIONS</t>
        </is>
      </c>
    </row>
    <row r="1155">
      <c r="B1155" s="22" t="inlineStr">
        <is>
          <t>MF3985 - STARS SPECIAL ABILITIES</t>
        </is>
      </c>
    </row>
    <row r="1156">
      <c r="B1156" s="22" t="inlineStr">
        <is>
          <t>MF3948 - ALNOOR HOSPITAL CLINIC - ALRYAN LABOR CAMP</t>
        </is>
      </c>
    </row>
    <row r="1157">
      <c r="B1157" s="22" t="inlineStr">
        <is>
          <t>MF3967 - GREEN APPLE DENTAL CENTER L.L.C</t>
        </is>
      </c>
    </row>
    <row r="1158">
      <c r="B1158" s="22" t="inlineStr">
        <is>
          <t>MF3961 - SKINMED MEDICAL CENTER- LLC -O.P.C</t>
        </is>
      </c>
    </row>
    <row r="1159">
      <c r="B1159" s="22" t="inlineStr">
        <is>
          <t>MF4017 - AL WAFA HOME HEALTH CARE L.L.C.</t>
        </is>
      </c>
    </row>
    <row r="1160">
      <c r="B1160" s="22" t="inlineStr">
        <is>
          <t>MF3988 - ALRIYADH MEDICAL CENTRE L.L.C- BRANCH 1</t>
        </is>
      </c>
    </row>
    <row r="1161">
      <c r="B1161" s="22" t="inlineStr">
        <is>
          <t>MF4027 - UNIQUE AL AHALIA OPHTHALMOLOGY MEDICAL CENTER L.L.C.</t>
        </is>
      </c>
    </row>
    <row r="1162">
      <c r="B1162" s="22" t="inlineStr">
        <is>
          <t>MF4042 - TATWEER CONSULTING &amp; TRAINING</t>
        </is>
      </c>
    </row>
    <row r="1163">
      <c r="B1163" s="22" t="inlineStr">
        <is>
          <t>MF4047 - PREMIER CARE HOME MEDICAL AND HEALTH CARE</t>
        </is>
      </c>
    </row>
    <row r="1164">
      <c r="B1164" s="22" t="inlineStr">
        <is>
          <t>MF4068 - DYNAMIC HOME HEALTH CARE</t>
        </is>
      </c>
    </row>
    <row r="1165">
      <c r="B1165" s="22" t="inlineStr">
        <is>
          <t>MF4052 - GRANDIS SPECIALIZED EYE HOSPITAL L.L.C</t>
        </is>
      </c>
    </row>
    <row r="1166">
      <c r="B1166" s="22" t="inlineStr">
        <is>
          <t>MF4117 - AL KHAIR MEDICAL CENTER</t>
        </is>
      </c>
    </row>
    <row r="1167">
      <c r="B1167" s="22" t="inlineStr">
        <is>
          <t>MF4105 - HEALTH &amp; LIFE MOBILE MEDICAL UNIT</t>
        </is>
      </c>
    </row>
    <row r="1168">
      <c r="B1168" s="22" t="inlineStr">
        <is>
          <t xml:space="preserve">MF4172 - MNAR GLOW COSMETIC SURGERY CLINIC </t>
        </is>
      </c>
    </row>
    <row r="1169">
      <c r="B1169" s="22" t="inlineStr">
        <is>
          <t>MF4184 - LAURETTE MEDICAL CENTRE L.L.C. - SOLE PROPRIETORSHIP L.L.C</t>
        </is>
      </c>
    </row>
    <row r="1170">
      <c r="B1170" s="22" t="inlineStr">
        <is>
          <t>MF3528 - MEDLINE MEDICAL CENTRE L.L.C</t>
        </is>
      </c>
    </row>
    <row r="1171">
      <c r="B1171" s="22" t="inlineStr">
        <is>
          <t>MF4202 - IBN SINA MEDICAL CENTRE- BRANCH 1</t>
        </is>
      </c>
    </row>
    <row r="1172">
      <c r="B1172" s="22" t="inlineStr">
        <is>
          <t>MF4540 - BLACK PEARL HEALTH CARE-SOLE PROPRIETORSHIP L.L.C</t>
        </is>
      </c>
    </row>
    <row r="1173">
      <c r="B1173" s="22" t="inlineStr">
        <is>
          <t>MF4285 - LONDON CONSULTING MEDICAL CENTER LLC</t>
        </is>
      </c>
    </row>
    <row r="1174">
      <c r="B1174" s="22" t="inlineStr">
        <is>
          <t>MF4230 - THE DOCTORS MEDICAL CENTER L.L.C -BRANCH 2 AL RAYYANA</t>
        </is>
      </c>
    </row>
    <row r="1175">
      <c r="B1175" s="22" t="inlineStr">
        <is>
          <t xml:space="preserve">MF4411 - MOBILE DENTAL CARE UNIT </t>
        </is>
      </c>
    </row>
    <row r="1176">
      <c r="B1176" s="22" t="inlineStr">
        <is>
          <t>MF4252 - BURJEEL DAY SURGERY CENTER PVT LTD</t>
        </is>
      </c>
    </row>
    <row r="1177">
      <c r="B1177" s="22" t="inlineStr">
        <is>
          <t>MF4477 - COSMESURGE EMIRATES SPECIALTY HOSPITAL L.L.C.</t>
        </is>
      </c>
    </row>
    <row r="1178">
      <c r="B1178" s="22" t="inlineStr">
        <is>
          <t>MF4256 - AL AIN CZECH REHABILITATION CENTER L.L.C.</t>
        </is>
      </c>
    </row>
    <row r="1179">
      <c r="B1179" s="22" t="inlineStr">
        <is>
          <t>MF4267 - REACH EMPLOYMENT SERVICES L.L.C</t>
        </is>
      </c>
    </row>
    <row r="1180">
      <c r="B1180" s="22" t="inlineStr">
        <is>
          <t>MF4258 - SMART SPOON FOR WEIGHT CONTROL</t>
        </is>
      </c>
    </row>
    <row r="1181">
      <c r="B1181" s="22" t="inlineStr">
        <is>
          <t>MF3912 - LINDE HEALTHCARE MIDDLE EAST LLC</t>
        </is>
      </c>
    </row>
    <row r="1182">
      <c r="B1182" s="22" t="inlineStr">
        <is>
          <t>MF4364 - AL SHERA HOME HEALTH CARE CENTER</t>
        </is>
      </c>
    </row>
    <row r="1183">
      <c r="B1183" s="22" t="inlineStr">
        <is>
          <t>MF4268 - MY CARE HOME HEALTH CARE</t>
        </is>
      </c>
    </row>
    <row r="1184">
      <c r="B1184" s="22" t="inlineStr">
        <is>
          <t>MF4372 - FAMILY EMIRATES HOME NURSING L.L.C</t>
        </is>
      </c>
    </row>
    <row r="1185">
      <c r="B1185" s="22" t="inlineStr">
        <is>
          <t>MF4346 - ALBA SMILE MEDICAL CENTRE L.L.C.</t>
        </is>
      </c>
    </row>
    <row r="1186">
      <c r="B1186" s="22" t="inlineStr">
        <is>
          <t>MF4392 - SAMA ALMOSTAKBAL UNDERTAKINGS  &amp; HOME HEALTH CARE</t>
        </is>
      </c>
    </row>
    <row r="1187">
      <c r="B1187" s="22" t="inlineStr">
        <is>
          <t>MF4456 - IVORY MEDICAL CENTER - SOLE PROPRIETORSHIP L.L.C.</t>
        </is>
      </c>
    </row>
    <row r="1188">
      <c r="B1188" s="22" t="inlineStr">
        <is>
          <t>MF4393 - WELL CARE HOME HEALTH CARE SERVICES</t>
        </is>
      </c>
    </row>
    <row r="1189">
      <c r="B1189" s="22" t="inlineStr">
        <is>
          <t>MF4423 - THIAB HOME HEALTH CARE</t>
        </is>
      </c>
    </row>
    <row r="1190">
      <c r="B1190" s="22" t="inlineStr">
        <is>
          <t>MF4444 - BELLA MEDICAL CENTRE LLC</t>
        </is>
      </c>
    </row>
    <row r="1191">
      <c r="B1191" s="22" t="inlineStr">
        <is>
          <t>MF4471 - MEDAWI MEDICAL CENTRE L.L.C</t>
        </is>
      </c>
    </row>
    <row r="1192">
      <c r="B1192" s="22" t="inlineStr">
        <is>
          <t>MF4502 - MEDEOR MEDICAL CENTRE AL FOAH LLC</t>
        </is>
      </c>
    </row>
    <row r="1193">
      <c r="B1193" s="22" t="inlineStr">
        <is>
          <t>MF4474 - NEW MEDICAL CENTRE L.L.C - BRANCH OF ABU DHABI 3</t>
        </is>
      </c>
    </row>
    <row r="1194">
      <c r="B1194" s="22" t="inlineStr">
        <is>
          <t xml:space="preserve">MF4630 - ALFARDOUS HOSPITAL </t>
        </is>
      </c>
    </row>
    <row r="1195">
      <c r="B1195" s="22" t="inlineStr">
        <is>
          <t>MF4527 - THE 24 CARE HUB CENTER  L.L.C.</t>
        </is>
      </c>
    </row>
    <row r="1196">
      <c r="B1196" s="22" t="inlineStr">
        <is>
          <t>MF4610 - SILVER ARROW HOME HEALTHCARE SERVICES</t>
        </is>
      </c>
    </row>
    <row r="1197">
      <c r="B1197" s="22" t="inlineStr">
        <is>
          <t xml:space="preserve">MF4553 - BRITISH AMERICAN HEALTH CARE L.L.C </t>
        </is>
      </c>
    </row>
    <row r="1198">
      <c r="B1198" s="22" t="inlineStr">
        <is>
          <t>MF4604 - AL MEZIN HOME MEDICAL AND HEALTH CARE</t>
        </is>
      </c>
    </row>
    <row r="1199">
      <c r="B1199" s="22" t="inlineStr">
        <is>
          <t>MF4568 - SMILE VIA HITECH DENTAL LABORATORY</t>
        </is>
      </c>
    </row>
    <row r="1200">
      <c r="B1200" s="22" t="inlineStr">
        <is>
          <t>MF4635 - MAHARA HEALTH CARE L.L.C.</t>
        </is>
      </c>
    </row>
    <row r="1201">
      <c r="B1201" s="22" t="inlineStr">
        <is>
          <t>MF4645 - NICE CARE MEDICAL CENTER L.L.C</t>
        </is>
      </c>
    </row>
    <row r="1202">
      <c r="B1202" s="22" t="inlineStr">
        <is>
          <t>MF4623 - TAJMEEL DENTAL CENTER L.L.C. - BRANCH 9</t>
        </is>
      </c>
    </row>
    <row r="1203">
      <c r="B1203" s="22" t="inlineStr">
        <is>
          <t>MF4648 - ADVANCED CAREER EXCELLLENCE TRAINING AND CONSULTING</t>
        </is>
      </c>
    </row>
    <row r="1204">
      <c r="B1204" s="22" t="inlineStr">
        <is>
          <t>MF4618 - INTEGRATED CARE CENTER - L.L.C - S.P.C</t>
        </is>
      </c>
    </row>
    <row r="1205">
      <c r="B1205" s="22" t="inlineStr">
        <is>
          <t>MF4672 - MAHABA MEDICAL CENTER FOR REHABILITATION</t>
        </is>
      </c>
    </row>
    <row r="1206">
      <c r="B1206" s="22" t="inlineStr">
        <is>
          <t>MF4636 - TAHYA HOME HEALTH CARE</t>
        </is>
      </c>
    </row>
    <row r="1207">
      <c r="B1207" s="22" t="inlineStr">
        <is>
          <t>MF4662 - BE WELL HOME CARE</t>
        </is>
      </c>
    </row>
    <row r="1208">
      <c r="B1208" s="22" t="inlineStr">
        <is>
          <t>MF4710 - BEAUTIFUL MIND MEDICAL CENTER - SOLE PROPRIETORSHIP L.L.C.</t>
        </is>
      </c>
    </row>
    <row r="1209">
      <c r="B1209" s="22" t="inlineStr">
        <is>
          <t>MF4187 - DENTAL EXPERTS CENTER -L.L.C - O.P.C</t>
        </is>
      </c>
    </row>
    <row r="1210">
      <c r="B1210" s="22" t="inlineStr">
        <is>
          <t>MF4680 - GOLDEN HEALTH HOSPITAL MANAGEMENT L.L.C</t>
        </is>
      </c>
    </row>
    <row r="1211">
      <c r="B1211" s="22" t="inlineStr">
        <is>
          <t>MF4687 - GLOBAL HOME HEALTH CARE LLC</t>
        </is>
      </c>
    </row>
    <row r="1212">
      <c r="B1212" s="22" t="inlineStr">
        <is>
          <t>MF4773 - HEALTH PLUS FERTILITY CENTER L.L.C</t>
        </is>
      </c>
    </row>
    <row r="1213">
      <c r="B1213" s="22" t="inlineStr">
        <is>
          <t>MF4699 - DIAMOND SMILE DENTAL CENTER L.L.C.</t>
        </is>
      </c>
    </row>
    <row r="1214">
      <c r="B1214" s="22" t="inlineStr">
        <is>
          <t>MF4683 - GOLDEN CHOICE MEDICAL CENTER</t>
        </is>
      </c>
    </row>
    <row r="1215">
      <c r="B1215" s="22" t="inlineStr">
        <is>
          <t>MF4692 - A M S HOME HEALTH CARE L.L.C.</t>
        </is>
      </c>
    </row>
    <row r="1216">
      <c r="B1216" s="22" t="inlineStr">
        <is>
          <t>MF4694 - ASAB DENTAL CLINIC</t>
        </is>
      </c>
    </row>
    <row r="1217">
      <c r="B1217" s="22" t="inlineStr">
        <is>
          <t>MF4767 - LLH HOSPITAL L.L.C. - BRANCH 1</t>
        </is>
      </c>
    </row>
    <row r="1218">
      <c r="B1218" s="22" t="inlineStr">
        <is>
          <t>MF4727 - D F W MEDICAL SERVICES  L.L.C.</t>
        </is>
      </c>
    </row>
    <row r="1219">
      <c r="B1219" s="22" t="inlineStr">
        <is>
          <t>MF4702 - HEALTH &amp; LIFE MEDICAL CENTER - BRANCH 13</t>
        </is>
      </c>
    </row>
    <row r="1220">
      <c r="B1220" s="22" t="inlineStr">
        <is>
          <t>MF4723 - TARIF MEDICAL CENTER</t>
        </is>
      </c>
    </row>
    <row r="1221">
      <c r="B1221" s="22" t="inlineStr">
        <is>
          <t>MF4734 - NIGHTINGALE NURSING TRAINING L.L.C.</t>
        </is>
      </c>
    </row>
    <row r="1222">
      <c r="B1222" s="22" t="inlineStr">
        <is>
          <t>MF4812 - LUMIERE SKIN CLINIC L.L.C. – BRANCH AL AIN LADIES CLUB</t>
        </is>
      </c>
    </row>
    <row r="1223">
      <c r="B1223" s="22" t="inlineStr">
        <is>
          <t>MF4747 - HIGH LIFE MEDICAL CENTER L.L.C.</t>
        </is>
      </c>
    </row>
    <row r="1224">
      <c r="B1224" s="22" t="inlineStr">
        <is>
          <t>MF4782 - UNIVERSAL FERTILITY CENTER L.L.C</t>
        </is>
      </c>
    </row>
    <row r="1225">
      <c r="B1225" s="22" t="inlineStr">
        <is>
          <t>MF4819 - CLASSIC CARE MEDICAL CENTER L.L.C.</t>
        </is>
      </c>
    </row>
    <row r="1226">
      <c r="B1226" s="22" t="inlineStr">
        <is>
          <t>MF4847 - REAYA MUMAYAZA SPECIALIZED FOR MEDICAL HOME CARE</t>
        </is>
      </c>
    </row>
    <row r="1227">
      <c r="B1227" s="22" t="inlineStr">
        <is>
          <t>MF4882 - MEDICINE HOUSE MEDICAL CENTER - SOLE PROPRIETORSHIP L.L.C</t>
        </is>
      </c>
    </row>
    <row r="1228">
      <c r="B1228" s="22" t="inlineStr">
        <is>
          <t>MF4970 - NOOR ALAHLI REHABILITATION CENTER . L.L.C.</t>
        </is>
      </c>
    </row>
    <row r="1229">
      <c r="B1229" s="22" t="inlineStr">
        <is>
          <t>MF4894 - ADVANCED CENTER FOR DAY CARE SURGERY L.L.C L.L.C.-BRANCH 2</t>
        </is>
      </c>
    </row>
    <row r="1230">
      <c r="B1230" s="22" t="inlineStr">
        <is>
          <t>MF4878 - HARLEY STREET &amp; BOUNCE BACK MEDICAL CENTER L.L.C</t>
        </is>
      </c>
    </row>
    <row r="1231">
      <c r="B1231" s="22" t="inlineStr">
        <is>
          <t>MF4930 - ADNOC MOBILE CLINIC</t>
        </is>
      </c>
    </row>
    <row r="1232">
      <c r="B1232" s="22" t="inlineStr">
        <is>
          <t>MF4943 - AL MANDOOB MEDICAL CENTER FOR ONE DAY SURGERY</t>
        </is>
      </c>
    </row>
    <row r="1233">
      <c r="B1233" s="22" t="inlineStr">
        <is>
          <t>MF4919 - NEWCASTLE MEDICAL CENTER - SOLE PROPRIETORSHIP L.L.C.</t>
        </is>
      </c>
    </row>
    <row r="1234">
      <c r="B1234" s="22" t="inlineStr">
        <is>
          <t>MF4934 -  FIRST STEP HOME HEALTH CARE SREVICES</t>
        </is>
      </c>
    </row>
    <row r="1235">
      <c r="B1235" s="22" t="inlineStr">
        <is>
          <t>MF4589 - MANAZEL HEALTHCARE L.L.C.</t>
        </is>
      </c>
    </row>
    <row r="1236">
      <c r="B1236" s="22" t="inlineStr">
        <is>
          <t>MF4677 - EIGHT HUNDRED DOCTOR HOME HEALTH CARE L.L.C.</t>
        </is>
      </c>
    </row>
    <row r="1237">
      <c r="B1237" s="22" t="inlineStr">
        <is>
          <t xml:space="preserve">MF5132 - american smile one day surgery </t>
        </is>
      </c>
    </row>
    <row r="1238">
      <c r="B1238" s="22" t="inlineStr">
        <is>
          <t>MF4958 - ALPINE MEDICAL CENTRE L.L.C.</t>
        </is>
      </c>
    </row>
    <row r="1239">
      <c r="B1239" s="22" t="inlineStr">
        <is>
          <t>MF4997 - HEALTH PLUS FAMILY HEALTH CENTER L.L.C.- BRANCH 2</t>
        </is>
      </c>
    </row>
    <row r="1240">
      <c r="B1240" s="22" t="inlineStr">
        <is>
          <t>MF4986 - HEALTH PLUS FAMILY HEALTH CENTER L.L.C- BRANCH 3</t>
        </is>
      </c>
    </row>
    <row r="1241">
      <c r="B1241" s="22" t="inlineStr">
        <is>
          <t>MF5084 - ARAB EUROPEAN HOSPITAL</t>
        </is>
      </c>
    </row>
    <row r="1242">
      <c r="B1242" s="22" t="inlineStr">
        <is>
          <t>MF5000 - JUMEIRAH  HOTEL CLINIC</t>
        </is>
      </c>
    </row>
    <row r="1243">
      <c r="B1243" s="22" t="inlineStr">
        <is>
          <t>MF4982 - WELL TOUCH MEDICAL CENTER - L.L.C</t>
        </is>
      </c>
    </row>
    <row r="1244">
      <c r="B1244" s="22" t="inlineStr">
        <is>
          <t>MF5143 - SARB SOUTH ARTIFICIAL ISLAND CLINIC</t>
        </is>
      </c>
    </row>
    <row r="1245">
      <c r="B1245" s="22" t="inlineStr">
        <is>
          <t>MF5071 - NEOCONSULT INTERNATIONAL MIDDLE EAST NURSING TRAINING L.L.C</t>
        </is>
      </c>
    </row>
    <row r="1246">
      <c r="B1246" s="22" t="inlineStr">
        <is>
          <t>MF5005 - NMC ROYAL MEDICAL CLINIC LLC - BRANCH 2</t>
        </is>
      </c>
    </row>
    <row r="1247">
      <c r="B1247" s="22" t="inlineStr">
        <is>
          <t>MF5061 - Sno Clinics Sole Proprietorship LLC Branch 1</t>
        </is>
      </c>
    </row>
    <row r="1248">
      <c r="B1248" s="22" t="inlineStr">
        <is>
          <t>MF5110 - NOOR ALAHLI MEDICAL CENTER L.L.C. - BRANCH</t>
        </is>
      </c>
    </row>
    <row r="1249">
      <c r="B1249" s="22" t="inlineStr">
        <is>
          <t>MF5120 - NOOR ALAHLI MEDICAL CENTER - BRANCH 7</t>
        </is>
      </c>
    </row>
    <row r="1250">
      <c r="B1250" s="22" t="inlineStr">
        <is>
          <t>MF4789 - ARMAN DENTAL LAB-SOLE PROPRIETORSHIP L.L.C.</t>
        </is>
      </c>
    </row>
    <row r="1251">
      <c r="B1251" s="22" t="inlineStr">
        <is>
          <t>MF5142 - SARB NORTH ARTIFICIAL ISLAND CLINIC</t>
        </is>
      </c>
    </row>
    <row r="1252">
      <c r="B1252" s="22" t="inlineStr">
        <is>
          <t>MF5150 - ALHYLEH PLATFORM CLINIC</t>
        </is>
      </c>
    </row>
    <row r="1253">
      <c r="B1253" s="22" t="inlineStr">
        <is>
          <t>MF5194 - AMERICAN CENTER FOR ONE DAY SURGERY L.L.C</t>
        </is>
      </c>
    </row>
    <row r="1254">
      <c r="B1254" s="22" t="inlineStr">
        <is>
          <t>MF5181 - HIGH CARE HOME HEALTH CARE</t>
        </is>
      </c>
    </row>
    <row r="1255">
      <c r="B1255" s="22" t="inlineStr">
        <is>
          <t>MF5458 - RIGHT CARE FOR HOME NURSING LLC - BRANCH OF ABUDHABI 1</t>
        </is>
      </c>
    </row>
    <row r="1256">
      <c r="B1256" s="22" t="inlineStr">
        <is>
          <t>MF5221 - NMC ROYAL MEDICAL CENTER LTD - BRANCH AL SHAHAMA</t>
        </is>
      </c>
    </row>
    <row r="1257">
      <c r="B1257" s="22" t="inlineStr">
        <is>
          <t>MF5229 - Maudsley Health Hospital - L.L.C. - S.P.C</t>
        </is>
      </c>
    </row>
    <row r="1258">
      <c r="B1258" s="22" t="inlineStr">
        <is>
          <t>MF4906 - AL RAQI MEDICAL CENTRE</t>
        </is>
      </c>
    </row>
    <row r="1259">
      <c r="B1259" s="22" t="inlineStr">
        <is>
          <t>MF5219 - SAMA SURGE MEDICAL CENTER - SOLE PROPRIETORSHIP L.L.C</t>
        </is>
      </c>
    </row>
    <row r="1260">
      <c r="B1260" s="22" t="inlineStr">
        <is>
          <t>MF5258 - N M C SPECIALTY HOSPITAL - LLC - BRANCH 1</t>
        </is>
      </c>
    </row>
    <row r="1261">
      <c r="B1261" s="22" t="inlineStr">
        <is>
          <t>MF5262 - INNOVATION EMPLOYMENT SERVICES</t>
        </is>
      </c>
    </row>
    <row r="1262">
      <c r="B1262" s="22" t="inlineStr">
        <is>
          <t>MF5273 - KABAYAN MEDICAL CENTER</t>
        </is>
      </c>
    </row>
    <row r="1263">
      <c r="B1263" s="22" t="inlineStr">
        <is>
          <t>MF5278 - TAJMEEL SPECIALIZED MEDICAL CENTER L.L.C - BRANCH 1</t>
        </is>
      </c>
    </row>
    <row r="1264">
      <c r="B1264" s="22" t="inlineStr">
        <is>
          <t>MF5298 - ALTAMAYZ MEDICAL CLINIC</t>
        </is>
      </c>
    </row>
    <row r="1265">
      <c r="B1265" s="22" t="inlineStr">
        <is>
          <t>MF5274 - AMAZON MEDICAL CENTER -SOLE PROPRIETORSHIP L.L.C</t>
        </is>
      </c>
    </row>
    <row r="1266">
      <c r="B1266" s="22" t="inlineStr">
        <is>
          <t>MF5294 - MEDSAFE MEDICAL CENTER</t>
        </is>
      </c>
    </row>
    <row r="1267">
      <c r="B1267" s="22" t="inlineStr">
        <is>
          <t>MF5328 - SYMBIOSIS HOME HEALTH CARE CENTER L L C - BRANCH OF ABU DHABI 1</t>
        </is>
      </c>
    </row>
    <row r="1268">
      <c r="B1268" s="22" t="inlineStr">
        <is>
          <t>MF5326 - AURA AESTHETICS DERMATOLOGY AND VENEREOLOGY CLINIC L.L.C.</t>
        </is>
      </c>
    </row>
    <row r="1269">
      <c r="B1269" s="22" t="inlineStr">
        <is>
          <t>MF5359 - YAS HEALTH CARE L.L.C. - BRANCH 2</t>
        </is>
      </c>
    </row>
    <row r="1270">
      <c r="B1270" s="22" t="inlineStr">
        <is>
          <t>MF4920 - ASA ALTERNATIVE MEDICAL AND HIJAMA CENTRE - L.L.C - O.P.C</t>
        </is>
      </c>
    </row>
    <row r="1271">
      <c r="B1271" s="22" t="inlineStr">
        <is>
          <t>MF5334 - AL YOUSUF MEDICAL CENTER LLC</t>
        </is>
      </c>
    </row>
    <row r="1272">
      <c r="B1272" s="22" t="inlineStr">
        <is>
          <t>MF5416 - DE KLINIEK ONE DAY CENTER - SOLE PROPRIETORSHIP L.L.C.</t>
        </is>
      </c>
    </row>
    <row r="1273">
      <c r="B1273" s="22" t="inlineStr">
        <is>
          <t>MF5403 - MAHABA- PRIMARY HEALHCARE CENTER</t>
        </is>
      </c>
    </row>
    <row r="1274">
      <c r="B1274" s="22" t="inlineStr">
        <is>
          <t>MF4653 - MUNICH MEDICAL &amp; REHABILITION CENTER L.L.C.</t>
        </is>
      </c>
    </row>
    <row r="1275">
      <c r="B1275" s="22" t="inlineStr">
        <is>
          <t>MF5399 - FILIPINO CARE FOR EMIRATES HOME HEALTH FACILITY</t>
        </is>
      </c>
    </row>
    <row r="1276">
      <c r="B1276" s="22" t="inlineStr">
        <is>
          <t>MF1383 - BURJEEL HOME CARE SERVICES L.L.C.</t>
        </is>
      </c>
    </row>
    <row r="1277">
      <c r="B1277" s="22" t="inlineStr">
        <is>
          <t>MF5136 - NOOR ALMUSTKBAL HOME HEALTH CARE</t>
        </is>
      </c>
    </row>
    <row r="1278">
      <c r="B1278" s="22" t="inlineStr">
        <is>
          <t>MF726 - DERMA SOLUTIONS MEDICAL CENTER</t>
        </is>
      </c>
    </row>
    <row r="1279">
      <c r="B1279" s="22" t="inlineStr">
        <is>
          <t>MF5437 - CANADIAN MEDICAL CENTER L L C - BRANCH 4</t>
        </is>
      </c>
    </row>
    <row r="1280">
      <c r="B1280" s="22" t="inlineStr">
        <is>
          <t>MF4836 -  ABILITY PEDIATRIC REHABILITATION MEDICAL CENTER L.L.C-S.P.C</t>
        </is>
      </c>
    </row>
    <row r="1281">
      <c r="B1281" s="22" t="inlineStr">
        <is>
          <t>MF5462 - SKIN INSTITUTE DERMATOLOGY MEDICAL CENTRE - SOLE PROPRIETORSHIP L.L.C.</t>
        </is>
      </c>
    </row>
    <row r="1282">
      <c r="B1282" s="22" t="inlineStr">
        <is>
          <t>MF5281 - FATIMA COLLEGE CENTER FOR PROVISION OF HEALTH SERVICE</t>
        </is>
      </c>
    </row>
    <row r="1283">
      <c r="B1283" s="22" t="inlineStr">
        <is>
          <t>MF5472 - ROYAL HEALTH REHABILITATION HOSPITALS MANAGEMENT L.L.C.</t>
        </is>
      </c>
    </row>
    <row r="1284">
      <c r="B1284" s="22" t="inlineStr">
        <is>
          <t>MF5498 - ALMAJLIS HEALTH SERVICES LLC</t>
        </is>
      </c>
    </row>
    <row r="1285">
      <c r="B1285" s="22" t="inlineStr">
        <is>
          <t>MF5491 - BARADA MEDICAL CENTER - L.L.C -S.P.C - BRANCH</t>
        </is>
      </c>
    </row>
    <row r="1286">
      <c r="B1286" s="22" t="inlineStr">
        <is>
          <t>MF5514 - PRIVATE CARE CENTRE - BRANCH OF ABU DHABI 2</t>
        </is>
      </c>
    </row>
    <row r="1287">
      <c r="B1287" s="22" t="inlineStr">
        <is>
          <t>MF5439 - NATURAL HEALTH MEDICAL CENTER L.L.C.</t>
        </is>
      </c>
    </row>
    <row r="1288">
      <c r="B1288" s="22" t="inlineStr">
        <is>
          <t>MF5320 - AL BUSTAN SEWAK DENTAL CENTER - L.L.C - O.P.C</t>
        </is>
      </c>
    </row>
    <row r="1289">
      <c r="B1289" s="22" t="inlineStr">
        <is>
          <t>MF5546 - POINTERS NURSING TRAINING CENTER  L.L.C.</t>
        </is>
      </c>
    </row>
    <row r="1290">
      <c r="B1290" s="22" t="inlineStr">
        <is>
          <t>MF4772 - MARDAN MEDICAL CENTER  - SOLE PROPRIETORSHIP L.L.C.</t>
        </is>
      </c>
    </row>
    <row r="1291">
      <c r="B1291" s="22" t="inlineStr">
        <is>
          <t>MF4888 - ROYAL STAR MEDICAL CENTER - SOLE PROPRIETORSHIP L.L.C</t>
        </is>
      </c>
    </row>
    <row r="1292">
      <c r="B1292" s="22" t="inlineStr">
        <is>
          <t>MF5548 - ALDUNIA MEDICAL COMPLEX - SOLE PROPRIETORSHIP L.L.C.</t>
        </is>
      </c>
    </row>
    <row r="1293">
      <c r="B1293" s="22" t="inlineStr">
        <is>
          <t>MF5556 - C C C MEDICAL CLINIC - SOLE PROPRIETORSHIP L.L.C</t>
        </is>
      </c>
    </row>
    <row r="1294">
      <c r="B1294" s="22" t="inlineStr">
        <is>
          <t>MF5612 - STAR KEY MOBILE CLINIC</t>
        </is>
      </c>
    </row>
    <row r="1295">
      <c r="B1295" s="22" t="inlineStr">
        <is>
          <t>MF5620 - CALL DOCTOR HOME HEALTH CARE CENTER L L C - BRANCH OF ABU DHABI 1</t>
        </is>
      </c>
    </row>
    <row r="1296">
      <c r="B1296" s="22" t="inlineStr">
        <is>
          <t>MF5631 - GENERAL HEALTHCARE SERVICES - SOLE PROPRIETORSHIP L.L.C.</t>
        </is>
      </c>
    </row>
    <row r="1297">
      <c r="B1297" s="22" t="inlineStr">
        <is>
          <t>MF5626 - UNITEAM PRIMARY HEALTH CARE CENTER L.L.C. - BRANCH - AL WATHBA</t>
        </is>
      </c>
    </row>
    <row r="1298">
      <c r="B1298" s="22" t="inlineStr">
        <is>
          <t>MF5629 - UNITEAM PRIMARY HEALTH CARE CENTER L.L.C. - BRANCH - UM GHAFFA</t>
        </is>
      </c>
    </row>
    <row r="1299">
      <c r="B1299" s="22" t="inlineStr">
        <is>
          <t>MF5662 - SAMSUNG ENGINEERING CLINIC</t>
        </is>
      </c>
    </row>
    <row r="1300">
      <c r="B1300" s="22" t="inlineStr">
        <is>
          <t>MF5736 - HARMONY MEDICAL CENTER BRANCH SOUTH SHAMKHA-ALRIYADH CITY</t>
        </is>
      </c>
    </row>
    <row r="1301">
      <c r="B1301" s="22" t="inlineStr">
        <is>
          <t>MF5705 - EAGLE MEDICAL COMPLEX</t>
        </is>
      </c>
    </row>
    <row r="1302">
      <c r="B1302" s="22" t="inlineStr">
        <is>
          <t>MF1199 - Al Rahma Medical Group - Sole Proprietorship L.L.C.</t>
        </is>
      </c>
    </row>
    <row r="1303">
      <c r="B1303" s="22" t="inlineStr">
        <is>
          <t>MF5377 - COMFORT NURSING AND HOME HEALTH CARE</t>
        </is>
      </c>
    </row>
    <row r="1304">
      <c r="B1304" s="22" t="inlineStr">
        <is>
          <t>MF4370 - Lumiere skin medical center LLC BRANCH BAWABAT ALSHARQ MALL</t>
        </is>
      </c>
    </row>
    <row r="1305">
      <c r="B1305" s="22" t="inlineStr">
        <is>
          <t>MF5702 - AMANA HEALTH CARE MEDICAL AND REHABILITATION HOSPITAL L.L.C -BRANCH 2</t>
        </is>
      </c>
    </row>
    <row r="1306">
      <c r="B1306" s="22" t="inlineStr">
        <is>
          <t>MF5686 - NATURAL HEALING ACUPUNCTURE MEDICAL CENTER L.L.C</t>
        </is>
      </c>
    </row>
    <row r="1307">
      <c r="B1307" s="22" t="inlineStr">
        <is>
          <t>MF5680 - KNOWLEDGE ZONE FOR CONSULTANCY AND TRAINING</t>
        </is>
      </c>
    </row>
    <row r="1308">
      <c r="B1308" s="22" t="inlineStr">
        <is>
          <t>MF5725 - MARBLE MEDICAL CENTER L.L.C.</t>
        </is>
      </c>
    </row>
    <row r="1309">
      <c r="B1309" s="22" t="inlineStr">
        <is>
          <t>MF104 - HEALTH SHEILD MEDICAL CENTER - L.L.C - S.P.C</t>
        </is>
      </c>
    </row>
    <row r="1310">
      <c r="B1310" s="22" t="inlineStr">
        <is>
          <t>MF5741 - Sheikh Tahnoon Bin Mohammed Medical City</t>
        </is>
      </c>
    </row>
    <row r="1311">
      <c r="B1311" s="22" t="inlineStr">
        <is>
          <t>MF7021 - AL NAYFA KG - SOLE PROPRIETORSHIP L.L.C. CLINIC</t>
        </is>
      </c>
    </row>
    <row r="1312">
      <c r="B1312" s="22" t="inlineStr">
        <is>
          <t>MF7030 - EAGLE INTERNATIONAL MEDICAL SERVICES - SOLE PROPRIETORSHIP L.L.C.</t>
        </is>
      </c>
    </row>
    <row r="1313">
      <c r="B1313" s="22" t="inlineStr">
        <is>
          <t>MF7038 - DERMAZONE LASER AND COSMETIC CENTER - SOLE PROPRIETORSHIP L.L.C. – BRANCH</t>
        </is>
      </c>
    </row>
    <row r="1314">
      <c r="B1314" s="22" t="inlineStr">
        <is>
          <t>MF7020 - AL GHADEER KINDERGARTEN - SOLE PROPRIETORSHIP L.L.C</t>
        </is>
      </c>
    </row>
    <row r="1315">
      <c r="B1315" s="22" t="inlineStr">
        <is>
          <t>MF4575 - SMART HOME CARE- SOLE PROPRIETORSHIP L.L.C</t>
        </is>
      </c>
    </row>
    <row r="1316">
      <c r="B1316" s="22" t="inlineStr">
        <is>
          <t>MF7062 - VIP DOCTOR L.L.C - BRANCH OF ABU DHABI</t>
        </is>
      </c>
    </row>
    <row r="1317">
      <c r="B1317" s="22" t="inlineStr">
        <is>
          <t>MF7075 - LIFECORE PRIVATE CLINIC L.L.C.</t>
        </is>
      </c>
    </row>
    <row r="1318">
      <c r="B1318" s="22" t="inlineStr">
        <is>
          <t>MF7026 - CREATIVE MEDICAL CENTER - SOLE PROPRIETORSHIP L.L.C.</t>
        </is>
      </c>
    </row>
    <row r="1319">
      <c r="B1319" s="22" t="inlineStr">
        <is>
          <t>MF7509 - BSK MEDICAL CENTER L.L.C.</t>
        </is>
      </c>
    </row>
    <row r="1320">
      <c r="B1320" s="22" t="inlineStr">
        <is>
          <t>MF7019 - OYOON LULU EYEXPRESS OPTICAL - L.L.C - O.P.C</t>
        </is>
      </c>
    </row>
    <row r="1321">
      <c r="B1321" s="22" t="inlineStr">
        <is>
          <t>MF7132 - COMPLETE HEALTH CARE SERVICES - L.L.C - S.P.C</t>
        </is>
      </c>
    </row>
    <row r="1322">
      <c r="B1322" s="22" t="inlineStr">
        <is>
          <t>MF7029 - HEALTH GO MEDICAL CENTER L.L.C.</t>
        </is>
      </c>
    </row>
    <row r="1323">
      <c r="B1323" s="22" t="inlineStr">
        <is>
          <t>MF7162 - MEDETARIAN CONFERENCES ORGANIZING - SOLE PROPRIETORSHIP L.L.C.</t>
        </is>
      </c>
    </row>
    <row r="1324">
      <c r="B1324" s="22" t="inlineStr">
        <is>
          <t>MF7181 - MEDIQUEEN MANAGEMENT OF MEDICAL FACILITIES L.L.C</t>
        </is>
      </c>
    </row>
    <row r="1325">
      <c r="B1325" s="22" t="inlineStr">
        <is>
          <t>MF7188 - AMAZE VISION OPTICS - L.L.C - S.P.C</t>
        </is>
      </c>
    </row>
    <row r="1326">
      <c r="B1326" s="22" t="inlineStr">
        <is>
          <t>MF7207 - LIFE MEDICAL DIAGNOSTICS LLC - BRANCH</t>
        </is>
      </c>
    </row>
    <row r="1327">
      <c r="B1327" s="22" t="inlineStr">
        <is>
          <t>MF7212 - SHIELD MEDICAL CENTER- L.L.C - O.P.C - BRANCH</t>
        </is>
      </c>
    </row>
    <row r="1328">
      <c r="B1328" s="22" t="inlineStr">
        <is>
          <t>MF7230 - DENTECH DENTAL LAB - SOLE PROPRIETORSHIP L.L.C.</t>
        </is>
      </c>
    </row>
    <row r="1329">
      <c r="B1329" s="22" t="inlineStr">
        <is>
          <t>MF7249 - AL RAYAHEEN SCHOOL - SOLE PROPRIETORSHIP L.L.C.</t>
        </is>
      </c>
    </row>
    <row r="1330">
      <c r="B1330" s="22" t="inlineStr">
        <is>
          <t>MF7260 - B F MEDICAL CENTER</t>
        </is>
      </c>
    </row>
    <row r="1331">
      <c r="B1331" s="22" t="inlineStr">
        <is>
          <t>MF7163 - AL RIYADH SCHOOL - SOLE PROPRIETORSHIP L.L.C.</t>
        </is>
      </c>
    </row>
    <row r="1332">
      <c r="B1332" s="22" t="inlineStr">
        <is>
          <t>MF7266 - BURJEEL HOSPITAL AL MAFRAQ L.L.C.</t>
        </is>
      </c>
    </row>
    <row r="1333">
      <c r="B1333" s="22" t="inlineStr">
        <is>
          <t>MF7205 - PICASSO DENTAL LABORATORY - L.L.C - S.P.C</t>
        </is>
      </c>
    </row>
    <row r="1334">
      <c r="B1334" s="22" t="inlineStr">
        <is>
          <t>MF7270 - CADY ROYAL MEDICAL CENTER - BRANCH OF ABU DHABI 2</t>
        </is>
      </c>
    </row>
    <row r="1335">
      <c r="B1335" s="22" t="inlineStr">
        <is>
          <t>MF2278 - DANAT AL EMARAT HOSPITAL FOR WOMEN &amp; CHILDREN L.L.C</t>
        </is>
      </c>
    </row>
    <row r="1336">
      <c r="B1336" s="22" t="inlineStr">
        <is>
          <t>MF7092 - SMILE RITE DENTAL CARE L.L.C. - BRANCH</t>
        </is>
      </c>
    </row>
    <row r="1337">
      <c r="B1337" s="22" t="inlineStr">
        <is>
          <t>MF7316 - AL KHAZNA HEALTH MEDICAL CENTER - L.L.C - S.P.C</t>
        </is>
      </c>
    </row>
    <row r="1338">
      <c r="B1338" s="22" t="inlineStr">
        <is>
          <t>MF7323 - VISIQUE OPTICAL RETAIL SPECTACLES TRADING L.L.C - BRANCH OF ABU DHABI 1</t>
        </is>
      </c>
    </row>
    <row r="1339">
      <c r="B1339" s="22" t="inlineStr">
        <is>
          <t>MF7331 - YAS CLINIC HOSPITAL - SOLE PROPRIETORSHIP L.L.C</t>
        </is>
      </c>
    </row>
    <row r="1340">
      <c r="B1340" s="22" t="inlineStr">
        <is>
          <t>MF7235 - OYOON LULU EYEXPRESS OPTICAL - L.L.C - O.P.C - BRANCH1</t>
        </is>
      </c>
    </row>
    <row r="1341">
      <c r="B1341" s="22" t="inlineStr">
        <is>
          <t>MF7387 - GLAMSMILE DENTAL CENTER - L.L.C - S.P.C</t>
        </is>
      </c>
    </row>
    <row r="1342">
      <c r="B1342" s="22" t="inlineStr">
        <is>
          <t>MF7401 - A B C PLUS MEDICAL CENTER</t>
        </is>
      </c>
    </row>
    <row r="1343">
      <c r="B1343" s="22" t="inlineStr">
        <is>
          <t>MF7409 - Mobile OT Clinic</t>
        </is>
      </c>
    </row>
    <row r="1344">
      <c r="B1344" s="22" t="inlineStr">
        <is>
          <t>MF7319 - Sama Tabrizi Dentistry LLC - Branch</t>
        </is>
      </c>
    </row>
    <row r="1345">
      <c r="B1345" s="22" t="inlineStr">
        <is>
          <t>MF5170 - REYADA HOME HEALTH CARE SERVICES L.L.C.</t>
        </is>
      </c>
    </row>
    <row r="1346">
      <c r="B1346" s="22" t="inlineStr">
        <is>
          <t>MF7279 - STYLO OPTICALS - L.L.C - O.P.C</t>
        </is>
      </c>
    </row>
    <row r="1347">
      <c r="B1347" s="22" t="inlineStr">
        <is>
          <t>MF7281 - Abu Dhabi Police Nursery Clinic</t>
        </is>
      </c>
    </row>
    <row r="1348">
      <c r="B1348" s="22" t="inlineStr">
        <is>
          <t>MF7478 - FIRSTDENT DENTAL CENTER - SOLE PROPRIETORSHIP L.L.C.</t>
        </is>
      </c>
    </row>
    <row r="1349">
      <c r="B1349" s="22" t="inlineStr">
        <is>
          <t>MF7481 - AL MAMSHA DENTAL CENTER L.L.C.</t>
        </is>
      </c>
    </row>
    <row r="1350">
      <c r="B1350" s="22" t="inlineStr">
        <is>
          <t>MF7500 - AD-182</t>
        </is>
      </c>
    </row>
    <row r="1351">
      <c r="B1351" s="22" t="inlineStr">
        <is>
          <t>MF7502 - RAYHAN PRIMARY HEALTHCARE CENTRE L.L.C.</t>
        </is>
      </c>
    </row>
    <row r="1352">
      <c r="B1352" s="22" t="inlineStr">
        <is>
          <t>MF7518 - YAS ORTHO DAY SURGERY AND REHABILITATION CENTER BY PALMS SPORTS - L.L.C - BRANCH</t>
        </is>
      </c>
    </row>
    <row r="1353">
      <c r="B1353" s="22" t="inlineStr">
        <is>
          <t>MF7246 - DR AHMED ABU SHARIA SKIN COSMETIC AND LASER CLINIC L.L.C</t>
        </is>
      </c>
    </row>
    <row r="1354">
      <c r="B1354" s="22" t="inlineStr">
        <is>
          <t>MF4284 - ALAFIA GHYATHI MEDICAL CENTRE - L.L.C - O.P.C</t>
        </is>
      </c>
    </row>
    <row r="1355">
      <c r="B1355" s="22" t="inlineStr">
        <is>
          <t>MF7559 - DIGITAL EARS AUDIOLOGY CENTER - SOLE PROPRIETORSHIP L.L.C.</t>
        </is>
      </c>
    </row>
    <row r="1356">
      <c r="B1356" s="22" t="inlineStr">
        <is>
          <t>MF5708 - KOREAN COSMETICS MEDICAL CENTER - SOLE PROPRIETORSHIP L.L.C.</t>
        </is>
      </c>
    </row>
    <row r="1357">
      <c r="B1357" s="22" t="inlineStr">
        <is>
          <t>MF2577 - AL DHAFRA FAMILY MEDICINE CENTER</t>
        </is>
      </c>
    </row>
    <row r="1358">
      <c r="B1358" s="22" t="inlineStr">
        <is>
          <t>MF7591 - A H PRIMARY CARE MEDICAL CENTRE - SOLE PROPRIETORSHIP L.L.C.</t>
        </is>
      </c>
    </row>
    <row r="1359">
      <c r="B1359" s="22" t="inlineStr">
        <is>
          <t>MF7595 - SOLARIS MEDICAL CENTER - L.L.C - S.P.C</t>
        </is>
      </c>
    </row>
    <row r="1360">
      <c r="B1360" s="22" t="inlineStr">
        <is>
          <t>MF7598 - LENSKART OPTICAL TRADING L.L.C</t>
        </is>
      </c>
    </row>
    <row r="1361">
      <c r="B1361" s="22" t="inlineStr">
        <is>
          <t>MF7599 - YATEEM OPTICS BRANCH</t>
        </is>
      </c>
    </row>
    <row r="1362">
      <c r="B1362" s="22" t="inlineStr">
        <is>
          <t>MF7602 - BRITISH OAK MONTESSORI KINDERGARTEN L.L.C.</t>
        </is>
      </c>
    </row>
    <row r="1363">
      <c r="B1363" s="22" t="inlineStr">
        <is>
          <t xml:space="preserve">MF7613 - LA FAMI MEDICAL COMPLEX - L.L.C
</t>
        </is>
      </c>
    </row>
    <row r="1364">
      <c r="B1364" s="22" t="inlineStr">
        <is>
          <t>MF7369 - AUSTIN REHABILITATION CENTER L.L.C.</t>
        </is>
      </c>
    </row>
    <row r="1365">
      <c r="B1365" s="22" t="inlineStr">
        <is>
          <t>MF7633 - SKIN LAUNDRY CALIFORNIA CLINIC (BR OF WELLNESS MENA INVESTMENT L.L.C) - BRANCH OF ABU DHABI 3</t>
        </is>
      </c>
    </row>
    <row r="1366">
      <c r="B1366" s="22" t="inlineStr">
        <is>
          <t>MF7663 - Pure Gold Medical Center and One Day Surgery-L.L.C. - S.P.C</t>
        </is>
      </c>
    </row>
    <row r="1367">
      <c r="B1367" s="22" t="inlineStr">
        <is>
          <t>MF7676 - NATURAL BEAUTY CLINICS - SOLE PROPRIETORSHIP L.L.C.</t>
        </is>
      </c>
    </row>
    <row r="1368">
      <c r="B1368" s="22" t="inlineStr">
        <is>
          <t>MF7705 - DISEASE PREVENTION AND SCREENING CENTRE- ALMUSHRIF MALL</t>
        </is>
      </c>
    </row>
    <row r="1369">
      <c r="B1369" s="22" t="inlineStr">
        <is>
          <t>MF7715 - 	SKILLS HUB RECRUITMENT SOLUTIONS- L.L.C.</t>
        </is>
      </c>
    </row>
    <row r="1370">
      <c r="B1370" s="22" t="inlineStr">
        <is>
          <t>MF7716 - MOHAMMED BIN KHALID AL NAHYAN GENERATION NURSERY (MBK)</t>
        </is>
      </c>
    </row>
    <row r="1371">
      <c r="B1371" s="22" t="inlineStr">
        <is>
          <t>MF7558 - EYE MAX OPTICAL-SOLE PROPRIETORSHIP L.L.C- BRANCH</t>
        </is>
      </c>
    </row>
    <row r="1372">
      <c r="B1372" s="22" t="inlineStr">
        <is>
          <t>MF7721 - AL BOOM MARINE L.L.C - BRANCH OF ABU DHABI 11</t>
        </is>
      </c>
    </row>
    <row r="1373">
      <c r="B1373" s="22" t="inlineStr">
        <is>
          <t>MF7751 - AL HUSAM REHABILITATION CENTER - L.L.C</t>
        </is>
      </c>
    </row>
    <row r="1374">
      <c r="B1374" s="22" t="inlineStr">
        <is>
          <t>MF7753 - HUMAN TOUCH MEDICAL CENTER - L.L.C - O.P.C</t>
        </is>
      </c>
    </row>
    <row r="1375">
      <c r="B1375" s="22" t="inlineStr">
        <is>
          <t>MF7755 - MAYBACH BY YATEEM OPTICS L.L.C - BRANCH OF ABU DHABI 1</t>
        </is>
      </c>
    </row>
    <row r="1376">
      <c r="B1376" s="22" t="inlineStr">
        <is>
          <t>MF7790 - ALWAHDA INTERNATIONAL PRIVATE SCHOOL</t>
        </is>
      </c>
    </row>
    <row r="1377">
      <c r="B1377" s="22" t="inlineStr">
        <is>
          <t>MF7792 - ADVANCED PETRO SERVICES  L.L.C.</t>
        </is>
      </c>
    </row>
    <row r="1378">
      <c r="B1378" s="22" t="inlineStr">
        <is>
          <t>MF7817 - AL HOSOON SCHOOL   - L.L.C - O.P.C</t>
        </is>
      </c>
    </row>
    <row r="1379">
      <c r="B1379" s="22" t="inlineStr">
        <is>
          <t>MF7841 - BURJEEL DARAK HOSPITAL L.L.C.</t>
        </is>
      </c>
    </row>
    <row r="1380">
      <c r="B1380" s="22" t="inlineStr">
        <is>
          <t>MF7678 - Abu Al Bukhoosh Clinic</t>
        </is>
      </c>
    </row>
    <row r="1381">
      <c r="B1381" s="22" t="inlineStr">
        <is>
          <t>MF7849 - ARCHITECT CLINIC - L.L.C - O.P.C</t>
        </is>
      </c>
    </row>
    <row r="1382">
      <c r="B1382" s="22" t="inlineStr">
        <is>
          <t>MF7854 - BORR DRILLING LAND SUPPORT LIMITED - ABU DHABI</t>
        </is>
      </c>
    </row>
    <row r="1383">
      <c r="B1383" s="22" t="inlineStr">
        <is>
          <t>MF7858 - LUMIERE SKIN CLINIC L.L.C. - BRANCH OF GALLERIA MALL</t>
        </is>
      </c>
    </row>
    <row r="1384">
      <c r="B1384" s="22" t="inlineStr">
        <is>
          <t>MF7632 - AURA AESTHETICS MEDICAL CENTE - L.L.C - S.P.C - BRANCH</t>
        </is>
      </c>
    </row>
    <row r="1385">
      <c r="B1385" s="22" t="inlineStr">
        <is>
          <t>MF7868 - Jern Yafoor School Clinic – Sole Proprietorship L L C</t>
        </is>
      </c>
    </row>
    <row r="1386">
      <c r="B1386" s="22" t="inlineStr">
        <is>
          <t>MF7798 - PEARL WHITE DENTAL LAB - SOLE PROPRIETORSHIP L.L.C.</t>
        </is>
      </c>
    </row>
    <row r="1387">
      <c r="B1387" s="22" t="inlineStr">
        <is>
          <t>MF7913 - ANTI AGING SKIN CLINIC - L.L.C - O.P.C</t>
        </is>
      </c>
    </row>
    <row r="1388">
      <c r="B1388" s="22" t="inlineStr">
        <is>
          <t>MF7793 - DISEASE PREVENTION AND SCREENING CENTER-TASHEEL AL NUKHBA</t>
        </is>
      </c>
    </row>
    <row r="1389">
      <c r="B1389" s="22" t="inlineStr">
        <is>
          <t>MF7957 - GOLD LIFE MEDICAL CLINIC - L.L.C</t>
        </is>
      </c>
    </row>
    <row r="1390">
      <c r="B1390" s="22" t="inlineStr">
        <is>
          <t>MF7963 -  LENSKART OPTICAL TRADING - BRANCH OF ABU DHABI</t>
        </is>
      </c>
    </row>
    <row r="1391">
      <c r="B1391" s="22" t="inlineStr">
        <is>
          <t>MF7783 - AL GHAF SCHOOL - SOLE PROPRIETORSHIP L.L.C.</t>
        </is>
      </c>
    </row>
    <row r="1392">
      <c r="B1392" s="22" t="inlineStr">
        <is>
          <t>MF7974 - AD-221</t>
        </is>
      </c>
    </row>
    <row r="1393">
      <c r="B1393" s="22" t="inlineStr">
        <is>
          <t>MF7828 - LLH CLINIC  L.L.C. - BRANCH 1</t>
        </is>
      </c>
    </row>
    <row r="1394">
      <c r="B1394" s="22" t="inlineStr">
        <is>
          <t>MF7714 - RAY ZONE OPTICALS - L.L.C - S.P.C</t>
        </is>
      </c>
    </row>
    <row r="1395">
      <c r="B1395" s="22" t="inlineStr">
        <is>
          <t>MF8031 - EASY HEALTH MEDICAL  CLINIC - L.L.C - S.P.C</t>
        </is>
      </c>
    </row>
    <row r="1396">
      <c r="B1396" s="22" t="inlineStr">
        <is>
          <t>MF7811 - SEER BANI YAS SCHOOL - SOLE PROPRIETORSHIP L.L.C.</t>
        </is>
      </c>
    </row>
    <row r="1397">
      <c r="B1397" s="22" t="inlineStr">
        <is>
          <t>MF8045 - AL FALAH ACADEMY -  BANI YAS</t>
        </is>
      </c>
    </row>
    <row r="1398">
      <c r="B1398" s="22" t="inlineStr">
        <is>
          <t>MF8063 - GEMS Founders School AD Limited Clinic</t>
        </is>
      </c>
    </row>
    <row r="1399">
      <c r="B1399" s="22" t="inlineStr">
        <is>
          <t>MF8078 - AD-237 Clinic</t>
        </is>
      </c>
    </row>
    <row r="1400">
      <c r="B1400" s="22" t="inlineStr">
        <is>
          <t>MF7452 - JAMIL OPTICS L L C - BRANCH OF ABU DHABI 1</t>
        </is>
      </c>
    </row>
    <row r="1401">
      <c r="B1401" s="22" t="inlineStr">
        <is>
          <t>MF8199 - FAKIH IVF FERTILITY CENTER LTD - BRANCH</t>
        </is>
      </c>
    </row>
    <row r="1402">
      <c r="B1402" s="22" t="inlineStr">
        <is>
          <t>MF8223 - G R G  HOSPITAL MANGMANENT - L.L.C - S.P.C</t>
        </is>
      </c>
    </row>
    <row r="1403">
      <c r="B1403" s="22" t="inlineStr">
        <is>
          <t>MF4665 - AL BAWADI MEDICAL CENTRE - SOLE PROPRIETORSHIP L.L.C</t>
        </is>
      </c>
    </row>
    <row r="1404">
      <c r="B1404" s="22" t="inlineStr">
        <is>
          <t>MF8327 - Sakina for Children</t>
        </is>
      </c>
    </row>
    <row r="1405">
      <c r="B1405" s="22" t="inlineStr">
        <is>
          <t>MF8117 - SALMA REHABILITATION HOSPITAL - L.L.C - S.P.C – BRANCH</t>
        </is>
      </c>
    </row>
    <row r="1406">
      <c r="B1406" s="22" t="inlineStr">
        <is>
          <t>MF8140 - TAWAZUN SAFETY SECURITY &amp; DISASTER MANAGEMENT CITY  L.L.C.</t>
        </is>
      </c>
    </row>
    <row r="1407">
      <c r="B1407" s="22" t="inlineStr">
        <is>
          <t>MF8186 -  ALSHEHAB MEDICAL CLINIC - L.L.C - S.P.C</t>
        </is>
      </c>
    </row>
    <row r="1408">
      <c r="B1408" s="22" t="inlineStr">
        <is>
          <t>MF8270 - AL BAYRAQ SCHOOL - SOLE PROPRIETORSHIP L.L.C.</t>
        </is>
      </c>
    </row>
    <row r="1409">
      <c r="B1409" s="22" t="inlineStr">
        <is>
          <t>MF8324 - AL ASHFAQ TRANSPORTING &amp; GENERAL CONTRACTING ESTABLISHMENT - BRANCH 1</t>
        </is>
      </c>
    </row>
    <row r="1410">
      <c r="B1410" s="22" t="inlineStr">
        <is>
          <t>MF8387 - PICADILLY BEAUTY CLINIC LIMITED</t>
        </is>
      </c>
    </row>
    <row r="1411">
      <c r="B1411" s="22" t="inlineStr">
        <is>
          <t>MF8460 - COSMOPOLITAN  MEDICAL CENTER - L.L.C - S.P.C</t>
        </is>
      </c>
    </row>
    <row r="1412">
      <c r="B1412" s="22" t="inlineStr">
        <is>
          <t>MF8479 - BOND AND BLOOM MEDICAL COMPLEX - L.L.C</t>
        </is>
      </c>
    </row>
    <row r="1413">
      <c r="B1413" s="22" t="inlineStr">
        <is>
          <t>MF8596 - S.J. ABED GENERAL ENTERPRISES LTD -  ABU DHABI....</t>
        </is>
      </c>
    </row>
    <row r="1414">
      <c r="B1414" s="22" t="inlineStr">
        <is>
          <t>MF8601 - REDWOOD NURSERY  AND KINDERGARTEN - L.L.C - S.P.C</t>
        </is>
      </c>
    </row>
    <row r="1415">
      <c r="B1415" s="22" t="inlineStr">
        <is>
          <t>MF8605 - LARSEN &amp; TOUBRO LIMITED - ECC CONSTRUCTION GROUP - ABU DHABI</t>
        </is>
      </c>
    </row>
    <row r="1416">
      <c r="B1416" s="22" t="inlineStr">
        <is>
          <t>MF87 - AL KAMAL MEDICAL POLY CLINICS - L.L.C - S.P.C</t>
        </is>
      </c>
    </row>
    <row r="1417">
      <c r="B1417" s="22" t="inlineStr">
        <is>
          <t>MF1027 - ZAKARIA PHYSIOTHERAPY CENTER</t>
        </is>
      </c>
    </row>
    <row r="1418">
      <c r="B1418" s="22" t="inlineStr">
        <is>
          <t>MF1142 - UNIVERSITY DENTAL CLINIC</t>
        </is>
      </c>
    </row>
    <row r="1419">
      <c r="B1419" s="22" t="inlineStr">
        <is>
          <t>MF2289 - UPPER ZAKUM CLINIC</t>
        </is>
      </c>
    </row>
    <row r="1420">
      <c r="B1420" s="22" t="inlineStr">
        <is>
          <t>MF2437 - THE ITALIAN HOSPITAL</t>
        </is>
      </c>
    </row>
    <row r="1421">
      <c r="B1421" s="22" t="inlineStr">
        <is>
          <t>MF2058 - TAWAM HOSPITAL</t>
        </is>
      </c>
    </row>
    <row r="1422">
      <c r="B1422" s="22" t="inlineStr">
        <is>
          <t>MF1614 - SPECIALEZEDINDIAN TRADITIONAL MEDICAL CLINIC</t>
        </is>
      </c>
    </row>
    <row r="1423">
      <c r="B1423" s="22" t="inlineStr">
        <is>
          <t>MF2371 - SHIEKH KHALIFA OUTPATIENT SPECIALITY CLINIC</t>
        </is>
      </c>
    </row>
    <row r="1424">
      <c r="B1424" s="22" t="inlineStr">
        <is>
          <t>MF20 - SARHAD MEDICAL CLINIC</t>
        </is>
      </c>
    </row>
    <row r="1425">
      <c r="B1425" s="22" t="inlineStr">
        <is>
          <t>MF2369 - SCANDINAVIAN DENTAL CENTER</t>
        </is>
      </c>
    </row>
    <row r="1426">
      <c r="B1426" s="22" t="inlineStr">
        <is>
          <t>MF2392 - SAADIYAT CLINIC</t>
        </is>
      </c>
    </row>
    <row r="1427">
      <c r="B1427" s="22" t="inlineStr">
        <is>
          <t>MF1861 - SAHEROON MEDICAL CLINIC</t>
        </is>
      </c>
    </row>
    <row r="1428">
      <c r="B1428" s="22" t="inlineStr">
        <is>
          <t>MF434 - ROLAND CEYTE DENTAL CLINIC</t>
        </is>
      </c>
    </row>
    <row r="1429">
      <c r="B1429" s="22" t="inlineStr">
        <is>
          <t>MF2386 - Al Rowda Healthcare Center</t>
        </is>
      </c>
    </row>
    <row r="1430">
      <c r="B1430" s="22" t="inlineStr">
        <is>
          <t>MF2320 - NOVA HEALTH MEDICAL CENTER - L.L.C - S.P.C</t>
        </is>
      </c>
    </row>
    <row r="1431">
      <c r="B1431" s="22" t="inlineStr">
        <is>
          <t>MF2502 - Al AIN Al AWAL FOR ONE DAY SURAGARY</t>
        </is>
      </c>
    </row>
    <row r="1432">
      <c r="B1432" s="22" t="inlineStr">
        <is>
          <t>MF2251 - MED SCOPE MEDICAL CENTER L.L.C</t>
        </is>
      </c>
    </row>
    <row r="1433">
      <c r="B1433" s="22" t="inlineStr">
        <is>
          <t>MF337 - MATHEW JOHN NEW MEDICAL CLINIC</t>
        </is>
      </c>
    </row>
    <row r="1434">
      <c r="B1434" s="22" t="inlineStr">
        <is>
          <t>MF1912 - MEDICAL AND  HEALTH  CENTRE LLC</t>
        </is>
      </c>
    </row>
    <row r="1435">
      <c r="B1435" s="22" t="inlineStr">
        <is>
          <t>MF464 - SPECIALIZED MEDICAL CARE HOSPITAL</t>
        </is>
      </c>
    </row>
    <row r="1436">
      <c r="B1436" s="22" t="inlineStr">
        <is>
          <t>MF1909 - MEDICAL HOME HOSPITAL</t>
        </is>
      </c>
    </row>
    <row r="1437">
      <c r="B1437" s="22" t="inlineStr">
        <is>
          <t>MF1330 - MAGIC OPTICALS</t>
        </is>
      </c>
    </row>
    <row r="1438">
      <c r="B1438" s="22" t="inlineStr">
        <is>
          <t>MF2349 - LIFECARE HOSPITAL L.L.C.</t>
        </is>
      </c>
    </row>
    <row r="1439">
      <c r="B1439" s="22" t="inlineStr">
        <is>
          <t>MF2044 - Madinat Khalifa Healthcare Center</t>
        </is>
      </c>
    </row>
    <row r="1440">
      <c r="B1440" s="22" t="inlineStr">
        <is>
          <t>MF299 - JOINT MED. SERV. (ADCO/ADGAS/ADMA-OPCO)(CLINIC)</t>
        </is>
      </c>
    </row>
    <row r="1441">
      <c r="B1441" s="22" t="inlineStr">
        <is>
          <t>MF2144 - IDEAL MEDICAL CENTER - L.L.C. -  AL AIN BRANCH</t>
        </is>
      </c>
    </row>
    <row r="1442">
      <c r="B1442" s="22" t="inlineStr">
        <is>
          <t>MF1221 - HANADI MEDICAL CENTER - L.L.C - S.P.C</t>
        </is>
      </c>
    </row>
    <row r="1443">
      <c r="B1443" s="22" t="inlineStr">
        <is>
          <t>MF687 - GULF DIAGNOSTIC CENTER HOSPITAL- W L L</t>
        </is>
      </c>
    </row>
    <row r="1444">
      <c r="B1444" s="22" t="inlineStr">
        <is>
          <t>MF1502 - FRIENDS MEDICALCENTRE</t>
        </is>
      </c>
    </row>
    <row r="1445">
      <c r="B1445" s="22" t="inlineStr">
        <is>
          <t>MF1399 - ELITE DENTAL FABRICATION LABORATORY</t>
        </is>
      </c>
    </row>
    <row r="1446">
      <c r="B1446" s="22" t="inlineStr">
        <is>
          <t>MF110 - DR. SHERIF</t>
        </is>
      </c>
    </row>
    <row r="1447">
      <c r="B1447" s="22" t="inlineStr">
        <is>
          <t>MF401 - DR.NIZAR NAYEF YOUNUS CLINIC</t>
        </is>
      </c>
    </row>
    <row r="1448">
      <c r="B1448" s="22" t="inlineStr">
        <is>
          <t>MF338 - DR. MEDHAT NEGM CLINIC</t>
        </is>
      </c>
    </row>
    <row r="1449">
      <c r="B1449" s="22" t="inlineStr">
        <is>
          <t>MF797 - DR. BARR MIDICAL CLINIC</t>
        </is>
      </c>
    </row>
    <row r="1450">
      <c r="B1450" s="22" t="inlineStr">
        <is>
          <t>MF1939 - DENTAL DESIGN CLINIC - L.L.C - S.P.C</t>
        </is>
      </c>
    </row>
    <row r="1451">
      <c r="B1451" s="22" t="inlineStr">
        <is>
          <t>MF213 - DAR AL SHIFA HOSPITAL L.L.C</t>
        </is>
      </c>
    </row>
    <row r="1452">
      <c r="B1452" s="22" t="inlineStr">
        <is>
          <t>MF146 - CONSULTANTS MEDICAL CENTRE - L.L.C - S.P.C</t>
        </is>
      </c>
    </row>
    <row r="1453">
      <c r="B1453" s="22" t="inlineStr">
        <is>
          <t>MF198 - CENTRAL CLINIC L.L.C</t>
        </is>
      </c>
    </row>
    <row r="1454">
      <c r="B1454" s="22" t="inlineStr">
        <is>
          <t>MF1179 - CELLO DENTAL CENTER - L.L.C</t>
        </is>
      </c>
    </row>
    <row r="1455">
      <c r="B1455" s="22" t="inlineStr">
        <is>
          <t>MF2241 - PRIME CARE MEDICAL CENTER L.L.C</t>
        </is>
      </c>
    </row>
    <row r="1456">
      <c r="B1456" s="22" t="inlineStr">
        <is>
          <t>MF186 - BARBARA ORTHODONTIC AND DENTAL POLYCLINIC - L.L.C - S.P.C</t>
        </is>
      </c>
    </row>
    <row r="1457">
      <c r="B1457" s="22" t="inlineStr">
        <is>
          <t>MF2292 - ARZANAH CLINIC</t>
        </is>
      </c>
    </row>
    <row r="1458">
      <c r="B1458" s="22" t="inlineStr">
        <is>
          <t>MF181 - AWAD KADDOURA CLINIC</t>
        </is>
      </c>
    </row>
    <row r="1459">
      <c r="B1459" s="22" t="inlineStr">
        <is>
          <t>MF1523 - ANSAM DENTAL CLINIC</t>
        </is>
      </c>
    </row>
    <row r="1460">
      <c r="B1460" s="22" t="inlineStr">
        <is>
          <t>MF1381 - ARABIC PHYSIOTHERAPY CENTRE</t>
        </is>
      </c>
    </row>
    <row r="1461">
      <c r="B1461" s="22" t="inlineStr">
        <is>
          <t>MF1545 - ALRAIAN NATIONAL PRAIVET SCHOOL</t>
        </is>
      </c>
    </row>
    <row r="1462">
      <c r="B1462" s="22" t="inlineStr">
        <is>
          <t>MF1305 - ALROUDHA MEDICAL CENTER - L.L.C - O.P.C</t>
        </is>
      </c>
    </row>
    <row r="1463">
      <c r="B1463" s="22" t="inlineStr">
        <is>
          <t>MF2309 - American Center For Psychiatry and Neurology L.L.C</t>
        </is>
      </c>
    </row>
    <row r="1464">
      <c r="B1464" s="22" t="inlineStr">
        <is>
          <t>MF1466 - ALJURMANIA SPECIALIZED MEDICAL CLINIC</t>
        </is>
      </c>
    </row>
    <row r="1465">
      <c r="B1465" s="22" t="inlineStr">
        <is>
          <t>MF1453 - ALBAYAN MEDICAL CENTER</t>
        </is>
      </c>
    </row>
    <row r="1466">
      <c r="B1466" s="22" t="inlineStr">
        <is>
          <t>MF537 - AL ZAHRA MEDICAL CENTRE</t>
        </is>
      </c>
    </row>
    <row r="1467">
      <c r="B1467" s="22" t="inlineStr">
        <is>
          <t>MF142 - AL SHARAA OPTICALS</t>
        </is>
      </c>
    </row>
    <row r="1468">
      <c r="B1468" s="22" t="inlineStr">
        <is>
          <t>MF140 - ALSHAM DENTAL CLINIC - L.L.C - S.P.C</t>
        </is>
      </c>
    </row>
    <row r="1469">
      <c r="B1469" s="22" t="inlineStr">
        <is>
          <t>MF2121 - AL RAFA MEDICAL CENTRE L L C</t>
        </is>
      </c>
    </row>
    <row r="1470">
      <c r="B1470" s="22" t="inlineStr">
        <is>
          <t>MF114 - AL NASER MEDICAL  COMPLEX</t>
        </is>
      </c>
    </row>
    <row r="1471">
      <c r="B1471" s="22" t="inlineStr">
        <is>
          <t>MF113 - AL NASEEM MEDICALCENTRE L.L.C</t>
        </is>
      </c>
    </row>
    <row r="1472">
      <c r="B1472" s="22" t="inlineStr">
        <is>
          <t>MF1431 - AL- NAWRAS' PHYSIOTHER-PAY CENTRE</t>
        </is>
      </c>
    </row>
    <row r="1473">
      <c r="B1473" s="22" t="inlineStr">
        <is>
          <t>MF573 - AL MANARA  INTERNATIONAL HOSPITAL</t>
        </is>
      </c>
    </row>
    <row r="1474">
      <c r="B1474" s="22" t="inlineStr">
        <is>
          <t>MF668 - AL KHATEEB MEDICAL CENTER</t>
        </is>
      </c>
    </row>
    <row r="1475">
      <c r="B1475" s="22" t="inlineStr">
        <is>
          <t>MF1210 - AL JAHILE MEDICAL CLINIC</t>
        </is>
      </c>
    </row>
    <row r="1476">
      <c r="B1476" s="22" t="inlineStr">
        <is>
          <t>MF1095 - AL IKHLAS SPECIALIZED MEDICAL CLINIC</t>
        </is>
      </c>
    </row>
    <row r="1477">
      <c r="B1477" s="22" t="inlineStr">
        <is>
          <t>MF1082 - AL DUHA DENTAL CLINIC</t>
        </is>
      </c>
    </row>
    <row r="1478">
      <c r="B1478" s="22" t="inlineStr">
        <is>
          <t>MF2188 - AL BARAHA MEDICAL CENTRE</t>
        </is>
      </c>
    </row>
    <row r="1479">
      <c r="B1479" s="22" t="inlineStr">
        <is>
          <t>MF1126 - AL BASHEER MEDICAL CENTRE L.L.C.</t>
        </is>
      </c>
    </row>
    <row r="1480">
      <c r="B1480" s="22" t="inlineStr">
        <is>
          <t>MF53 - AL BASMA MEDICAL CENTRE</t>
        </is>
      </c>
    </row>
    <row r="1481">
      <c r="B1481" s="22" t="inlineStr">
        <is>
          <t>MF3 - ADEC</t>
        </is>
      </c>
    </row>
    <row r="1482">
      <c r="B1482" s="22" t="inlineStr">
        <is>
          <t>MF1975 - ABU DHABI OZONE CLINIC</t>
        </is>
      </c>
    </row>
    <row r="1483">
      <c r="B1483" s="22" t="inlineStr">
        <is>
          <t>MF22 - AFIFI CLINIC</t>
        </is>
      </c>
    </row>
    <row r="1484">
      <c r="B1484" s="22" t="inlineStr">
        <is>
          <t>MF2604 - AL Jaber Est. Medical Clinic Mafraq Branch</t>
        </is>
      </c>
    </row>
    <row r="1485">
      <c r="B1485" s="22" t="inlineStr">
        <is>
          <t>MF2605 - ABU DHABI NEW ENGLAND CENTRE FOR CHILDREN</t>
        </is>
      </c>
    </row>
    <row r="1486">
      <c r="B1486" s="22" t="inlineStr">
        <is>
          <t>MF2613 - EMIRATES ALUMINUM COMPANY LIMITED P J S CLINIC  MANAGED BY RESPONSE PLUS MANPOWER SUPPLY</t>
        </is>
      </c>
    </row>
    <row r="1487">
      <c r="B1487" s="22" t="inlineStr">
        <is>
          <t>MF2933 - FOUR SEASONS MEDICAL HOSPITAL</t>
        </is>
      </c>
    </row>
    <row r="1488">
      <c r="B1488" s="22" t="inlineStr">
        <is>
          <t>MF2972 - MONTREAL PAEDIATRIC CLINIC - L LC</t>
        </is>
      </c>
    </row>
    <row r="1489">
      <c r="B1489" s="22" t="inlineStr">
        <is>
          <t>MF2533 - SEHA MOBILE CLINIC 3</t>
        </is>
      </c>
    </row>
    <row r="1490">
      <c r="B1490" s="22" t="inlineStr">
        <is>
          <t>MF2531 - THE SITE MEDICAL SERVICES L.L.C.</t>
        </is>
      </c>
    </row>
    <row r="1491">
      <c r="B1491" s="22" t="inlineStr">
        <is>
          <t>MF3018 - PRESTIGE DENTAL LABORATORY - SOLE PROPRIETORSHIP L.L.C</t>
        </is>
      </c>
    </row>
    <row r="1492">
      <c r="B1492" s="22" t="inlineStr">
        <is>
          <t>MF3075 - SAFA MECCA MEDICAL CENTER L.L.C</t>
        </is>
      </c>
    </row>
    <row r="1493">
      <c r="B1493" s="22" t="inlineStr">
        <is>
          <t>MF3131 - VIENNA MEDICAL COMPLEX</t>
        </is>
      </c>
    </row>
    <row r="1494">
      <c r="B1494" s="22" t="inlineStr">
        <is>
          <t>MF3155 - Alshaya Hospital Management</t>
        </is>
      </c>
    </row>
    <row r="1495">
      <c r="B1495" s="22" t="inlineStr">
        <is>
          <t>MF649 - SHAMMAS DENTAL CLINIC</t>
        </is>
      </c>
    </row>
    <row r="1496">
      <c r="B1496" s="22" t="inlineStr">
        <is>
          <t>MF233 - EMIRATES INTERNATIONAL HOSPITAL - SOLE PROPRIETORSHIP L.L.C.</t>
        </is>
      </c>
    </row>
    <row r="1497">
      <c r="B1497" s="22" t="inlineStr">
        <is>
          <t>MF2611 - WIDEX MEDICAL EQUIPMENT-ABU DHABI BRANCH</t>
        </is>
      </c>
    </row>
    <row r="1498">
      <c r="B1498" s="22" t="inlineStr">
        <is>
          <t>MF473 - TAHA MEDICAL CENTRE L.L.C</t>
        </is>
      </c>
    </row>
    <row r="1499">
      <c r="B1499" s="22" t="inlineStr">
        <is>
          <t>MF2200 - SAMAYA SPECIALIZED CENTER -SSC-LASER &amp; DAY CARE SURGERY LLC</t>
        </is>
      </c>
    </row>
    <row r="1500">
      <c r="B1500" s="22" t="inlineStr">
        <is>
          <t>MF1979 - DENTCARE DENTAL LAB LLC</t>
        </is>
      </c>
    </row>
    <row r="1501">
      <c r="B1501" s="22" t="inlineStr">
        <is>
          <t>MF365 - Mubarak Medical Center - Sole Proprietorship L.L.C.</t>
        </is>
      </c>
    </row>
    <row r="1502">
      <c r="B1502" s="22" t="inlineStr">
        <is>
          <t>MF1425 - THOMAS DENTAL CENTRE - L.L.C - S.P.C</t>
        </is>
      </c>
    </row>
    <row r="1503">
      <c r="B1503" s="22" t="inlineStr">
        <is>
          <t>MF2420 - LIFECARE HOSPITAL .LLC - BRANCH 1</t>
        </is>
      </c>
    </row>
    <row r="1504">
      <c r="B1504" s="22" t="inlineStr">
        <is>
          <t>MF1169 - INTERNATIONAL CHIROPRACTIC SPECIALTY CENTER L.L.C.</t>
        </is>
      </c>
    </row>
    <row r="1505">
      <c r="B1505" s="22" t="inlineStr">
        <is>
          <t>MF2500 - EXETER MEDICAL CENTER FOR BONE AND JOINT HEALTH - L.L.C - O.P.C</t>
        </is>
      </c>
    </row>
    <row r="1506">
      <c r="B1506" s="22" t="inlineStr">
        <is>
          <t>MF607 - MCCULLOCH CLINIC - SOLE PROPRIETORSHIP L.L.C.</t>
        </is>
      </c>
    </row>
    <row r="1507">
      <c r="B1507" s="22" t="inlineStr">
        <is>
          <t>MF324 - SYNERGY DENTAL CENTER LLC</t>
        </is>
      </c>
    </row>
    <row r="1508">
      <c r="B1508" s="22" t="inlineStr">
        <is>
          <t>MF279 - DR. IBRAHIM AL DAJANI CLINIC</t>
        </is>
      </c>
    </row>
    <row r="1509">
      <c r="B1509" s="22" t="inlineStr">
        <is>
          <t>MF1283 - AL SAMAH DENTAL CLINIC</t>
        </is>
      </c>
    </row>
    <row r="1510">
      <c r="B1510" s="22" t="inlineStr">
        <is>
          <t>MF1081 - AL MUZAINA DENTAL CLINIC</t>
        </is>
      </c>
    </row>
    <row r="1511">
      <c r="B1511" s="22" t="inlineStr">
        <is>
          <t>MF1781 - AL MALAK AESTHETIC CENTER L.L.C</t>
        </is>
      </c>
    </row>
    <row r="1512">
      <c r="B1512" s="22" t="inlineStr">
        <is>
          <t>MF2606 - AL JABER EST. MEDICAL CLINIC - HABSHAN BRANCH</t>
        </is>
      </c>
    </row>
    <row r="1513">
      <c r="B1513" s="22" t="inlineStr">
        <is>
          <t>MF2956 - AL MUSAFFAH AL ALHLI MEDICAL CENTRE - BRANCH</t>
        </is>
      </c>
    </row>
    <row r="1514">
      <c r="B1514" s="22" t="inlineStr">
        <is>
          <t>MF2526 - AL AHLI HOSPITAL COMPANY - WLL - BEDA ZAYED BRANCH</t>
        </is>
      </c>
    </row>
    <row r="1515">
      <c r="B1515" s="22" t="inlineStr">
        <is>
          <t>MF2994 - FIRST SUPPORT HEALTH SERVICES</t>
        </is>
      </c>
    </row>
    <row r="1516">
      <c r="B1516" s="22" t="inlineStr">
        <is>
          <t>MF2560 - MUBAZARAH HOME HEALTH CARE CENTRE</t>
        </is>
      </c>
    </row>
    <row r="1517">
      <c r="B1517" s="22" t="inlineStr">
        <is>
          <t>MF2615 - NATIONAL HOSPITAL L.L.C - BRANCH</t>
        </is>
      </c>
    </row>
    <row r="1518">
      <c r="B1518" s="22" t="inlineStr">
        <is>
          <t>MF2534 - SEHA MOBILE CLINIC 1</t>
        </is>
      </c>
    </row>
    <row r="1519">
      <c r="B1519" s="22" t="inlineStr">
        <is>
          <t>MF2950 - BETTER LIFE CLINIC</t>
        </is>
      </c>
    </row>
    <row r="1520">
      <c r="B1520" s="22" t="inlineStr">
        <is>
          <t>MF3107 - AL AHLI HOSPITAL COMPANY LLC - BRANCH 1</t>
        </is>
      </c>
    </row>
    <row r="1521">
      <c r="B1521" s="22" t="inlineStr">
        <is>
          <t>MF3086 - HEALTH PLUS DIALYSIS CENTER - LLC</t>
        </is>
      </c>
    </row>
    <row r="1522">
      <c r="B1522" s="22" t="inlineStr">
        <is>
          <t>MF3095 - LAROSE DERMATOLOGY CLINIC</t>
        </is>
      </c>
    </row>
    <row r="1523">
      <c r="B1523" s="22" t="inlineStr">
        <is>
          <t>MF1519 - ABU SALMAN MEDICAL CENTRE L.L.C</t>
        </is>
      </c>
    </row>
    <row r="1524">
      <c r="B1524" s="22" t="inlineStr">
        <is>
          <t>MF2973 - AIN ALFAYDA SPECIALIZED HOSPITAL</t>
        </is>
      </c>
    </row>
    <row r="1525">
      <c r="B1525" s="22" t="inlineStr">
        <is>
          <t>MF3189 - HAKEEM POLYCLINIC</t>
        </is>
      </c>
    </row>
    <row r="1526">
      <c r="B1526" s="22" t="inlineStr">
        <is>
          <t>MF3190 - SEASHELL DENTAL CLINIC</t>
        </is>
      </c>
    </row>
    <row r="1527">
      <c r="B1527" s="22" t="inlineStr">
        <is>
          <t>MF3204 - SEHA Dialysis Services – Al Mafraq Hospital</t>
        </is>
      </c>
    </row>
    <row r="1528">
      <c r="B1528" s="22" t="inlineStr">
        <is>
          <t>MF3243 - CMC HEALTH CARE L L C - SOLE PROPRIETORSHIP L.L.C.</t>
        </is>
      </c>
    </row>
    <row r="1529">
      <c r="B1529" s="22" t="inlineStr">
        <is>
          <t>MF3263 - TRABULSI CONSULTANT MEDICAL POLY CLINIC L.L.C</t>
        </is>
      </c>
    </row>
    <row r="1530">
      <c r="B1530" s="22" t="inlineStr">
        <is>
          <t>MF3286 - BARARI MEDICAL FOR ONE DAY SURGERY CENTER L.L.C</t>
        </is>
      </c>
    </row>
    <row r="1531">
      <c r="B1531" s="22" t="inlineStr">
        <is>
          <t>MF3296 - AL DHAFRA MODERN MEDICAL CENTRE - L.L.C</t>
        </is>
      </c>
    </row>
    <row r="1532">
      <c r="B1532" s="22" t="inlineStr">
        <is>
          <t>MF3299 - HEALTH MANAGEMENT SOLUTIONS</t>
        </is>
      </c>
    </row>
    <row r="1533">
      <c r="B1533" s="22" t="inlineStr">
        <is>
          <t>MF3300 - SAPPHIRE BEAUTY LASER CARE  POLYCLINIC</t>
        </is>
      </c>
    </row>
    <row r="1534">
      <c r="B1534" s="22" t="inlineStr">
        <is>
          <t>MF3306 - LIWA MEDICAL CENTRE L.L.C</t>
        </is>
      </c>
    </row>
    <row r="1535">
      <c r="B1535" s="22" t="inlineStr">
        <is>
          <t>MF1985 - ULTRA CARE MEDICAL CENTER L.L.C</t>
        </is>
      </c>
    </row>
    <row r="1536">
      <c r="B1536" s="22" t="inlineStr">
        <is>
          <t>MF540 - DR. AMEEN ALI SAEED CLINIC</t>
        </is>
      </c>
    </row>
    <row r="1537">
      <c r="B1537" s="22" t="inlineStr">
        <is>
          <t>MF918 - BIN TAYMEYA MEDICAL CLINIC</t>
        </is>
      </c>
    </row>
    <row r="1538">
      <c r="B1538" s="22" t="inlineStr">
        <is>
          <t>MF143 - SHIFA ALAIN MEDICAL CENTER</t>
        </is>
      </c>
    </row>
    <row r="1539">
      <c r="B1539" s="22" t="inlineStr">
        <is>
          <t>MF2969 - ALNOOR REHABILITATION FOR SPECIAL NEEDS CENTRE - MUSAFAH BRANCH</t>
        </is>
      </c>
    </row>
    <row r="1540">
      <c r="B1540" s="22" t="inlineStr">
        <is>
          <t>MF3016 - AL BUSTAN MEDICAL CENTER - BRANCH 2</t>
        </is>
      </c>
    </row>
    <row r="1541">
      <c r="B1541" s="22" t="inlineStr">
        <is>
          <t>MF3013 - PIONEERS SPORTS MEDICINE CENTER L L C</t>
        </is>
      </c>
    </row>
    <row r="1542">
      <c r="B1542" s="22" t="inlineStr">
        <is>
          <t>MF3313 - SMART ADVANCED CLINIC L.L.C.</t>
        </is>
      </c>
    </row>
    <row r="1543">
      <c r="B1543" s="22" t="inlineStr">
        <is>
          <t>MF3317 - Angel Home Health</t>
        </is>
      </c>
    </row>
    <row r="1544">
      <c r="B1544" s="22" t="inlineStr">
        <is>
          <t>MF3319 - EMIRATI - GERMAN MEDICAL POLYCLINICS</t>
        </is>
      </c>
    </row>
    <row r="1545">
      <c r="B1545" s="22" t="inlineStr">
        <is>
          <t>MF497 - ZAKUM DEVELOPMENT ZADCO MEDICAL CENTER</t>
        </is>
      </c>
    </row>
    <row r="1546">
      <c r="B1546" s="22" t="inlineStr">
        <is>
          <t>MF180 -  SMILE DENTAL CLINIC L.L.C - S.P.C.</t>
        </is>
      </c>
    </row>
    <row r="1547">
      <c r="B1547" s="22" t="inlineStr">
        <is>
          <t>MF2435 - STEP HOME HEALTH CARE CENTRE</t>
        </is>
      </c>
    </row>
    <row r="1548">
      <c r="B1548" s="22" t="inlineStr">
        <is>
          <t>MF1959 - HARLEY STREET DENTAL CENTER L.L.C L.L.C</t>
        </is>
      </c>
    </row>
    <row r="1549">
      <c r="B1549" s="22" t="inlineStr">
        <is>
          <t>MF1690 - MANCHESTER DENTAL CENTER</t>
        </is>
      </c>
    </row>
    <row r="1550">
      <c r="B1550" s="22" t="inlineStr">
        <is>
          <t>MF287 - AL ITTIHAD MEDICAL CENTRE - SOLE PROPRIETORSHIP L.L.C.</t>
        </is>
      </c>
    </row>
    <row r="1551">
      <c r="B1551" s="22" t="inlineStr">
        <is>
          <t>MF1709 - HAFEDH MEDICAL CENTRE</t>
        </is>
      </c>
    </row>
    <row r="1552">
      <c r="B1552" s="22" t="inlineStr">
        <is>
          <t xml:space="preserve">MF1922 - AL SABAH DENTAL POLYCLINIC - L .L. C -S.P.C </t>
        </is>
      </c>
    </row>
    <row r="1553">
      <c r="B1553" s="22" t="inlineStr">
        <is>
          <t>MF320 - WISDOM MEDICAL CENTRE L.L.C.</t>
        </is>
      </c>
    </row>
    <row r="1554">
      <c r="B1554" s="22" t="inlineStr">
        <is>
          <t>MF1306 - AL- KAWTHAR GYNAECOLOGY CLINIC</t>
        </is>
      </c>
    </row>
    <row r="1555">
      <c r="B1555" s="22" t="inlineStr">
        <is>
          <t>MF978 - AL ATTAR DENTAL CLINIC</t>
        </is>
      </c>
    </row>
    <row r="1556">
      <c r="B1556" s="22" t="inlineStr">
        <is>
          <t>MF1964 - ADNOC Occupational Medical Center</t>
        </is>
      </c>
    </row>
    <row r="1557">
      <c r="B1557" s="22" t="inlineStr">
        <is>
          <t>MF3101 - ADD CARE MEDICAL CENTER L.LC</t>
        </is>
      </c>
    </row>
    <row r="1558">
      <c r="B1558" s="22" t="inlineStr">
        <is>
          <t>MF2126 - DOMANIAL DENTAL LABORATORY</t>
        </is>
      </c>
    </row>
    <row r="1559">
      <c r="B1559" s="22" t="inlineStr">
        <is>
          <t>MF1435 - AL SROOR HOSPITAL</t>
        </is>
      </c>
    </row>
    <row r="1560">
      <c r="B1560" s="22" t="inlineStr">
        <is>
          <t>MF2432 - AL RAWDAH GERMAN MEDICAL CENTER - L L C</t>
        </is>
      </c>
    </row>
    <row r="1561">
      <c r="B1561" s="22" t="inlineStr">
        <is>
          <t>MF534 - AL RAHA MEDICAL CENTER LLC</t>
        </is>
      </c>
    </row>
    <row r="1562">
      <c r="B1562" s="22" t="inlineStr">
        <is>
          <t>MF1165 - CREATIVE DENTAL LABORATORY</t>
        </is>
      </c>
    </row>
    <row r="1563">
      <c r="B1563" s="22" t="inlineStr">
        <is>
          <t>MF2591 - VENTURES HEALTHCARE LLC</t>
        </is>
      </c>
    </row>
    <row r="1564">
      <c r="B1564" s="22" t="inlineStr">
        <is>
          <t>MF2576 - BETTER CARE HOSPITAL</t>
        </is>
      </c>
    </row>
    <row r="1565">
      <c r="B1565" s="22" t="inlineStr">
        <is>
          <t>MF3099 - FUTOOH AL KHAIR SPECIALIZED MEDICAL CENTER - L L C</t>
        </is>
      </c>
    </row>
    <row r="1566">
      <c r="B1566" s="22" t="inlineStr">
        <is>
          <t>MF3215 - GOLDEN HEALTH HEALTH CARE SERVICES L.L.C</t>
        </is>
      </c>
    </row>
    <row r="1567">
      <c r="B1567" s="22" t="inlineStr">
        <is>
          <t>MF3333 - Royal Joonghan International Hospital</t>
        </is>
      </c>
    </row>
    <row r="1568">
      <c r="B1568" s="22" t="inlineStr">
        <is>
          <t>MF3508 - tatbeeb medical services</t>
        </is>
      </c>
    </row>
    <row r="1569">
      <c r="B1569" s="22" t="inlineStr">
        <is>
          <t>MF3518 - EMIRATES CONFIDENTY HOME HEALTH CARE</t>
        </is>
      </c>
    </row>
    <row r="1570">
      <c r="B1570" s="22" t="inlineStr">
        <is>
          <t>MF3503 - Integrated Health Polyclinics</t>
        </is>
      </c>
    </row>
    <row r="1571">
      <c r="B1571" s="22" t="inlineStr">
        <is>
          <t>MF3575 - GS ENGINEERING &amp; CONSTRUCTION CORPORATION CLINIC-AL RUWAIS</t>
        </is>
      </c>
    </row>
    <row r="1572">
      <c r="B1572" s="22" t="inlineStr">
        <is>
          <t>MF3502 - WE CARE MEDICAL CLINIC</t>
        </is>
      </c>
    </row>
    <row r="1573">
      <c r="B1573" s="22" t="inlineStr">
        <is>
          <t>MF3565 - MADINAT ZAYED CARE AND REHABILITATION CENTER FOR PEOPLE WITH SPECIAL NEEDS</t>
        </is>
      </c>
    </row>
    <row r="1574">
      <c r="B1574" s="22" t="inlineStr">
        <is>
          <t>MF3582 - HHD HOME HEALTH CARE LLC</t>
        </is>
      </c>
    </row>
    <row r="1575">
      <c r="B1575" s="22" t="inlineStr">
        <is>
          <t>MF3564 - DNA HEALTH L.L.C.</t>
        </is>
      </c>
    </row>
    <row r="1576">
      <c r="B1576" s="22" t="inlineStr">
        <is>
          <t xml:space="preserve">MF3584 - AL QUAA CARE AND REHABILITATION CENTER FOR PEOPLE WITH SPECIAL NEEDS </t>
        </is>
      </c>
    </row>
    <row r="1577">
      <c r="B1577" s="22" t="inlineStr">
        <is>
          <t>MF3237 - Manzil Home Health Services L.L.C</t>
        </is>
      </c>
    </row>
    <row r="1578">
      <c r="B1578" s="22" t="inlineStr">
        <is>
          <t>MF3604 - PARISSURGE AESTHETIC CLINIC L.L.C</t>
        </is>
      </c>
    </row>
    <row r="1579">
      <c r="B1579" s="22" t="inlineStr">
        <is>
          <t>MF4556 - MUSHFAYAT HEALTH CARE</t>
        </is>
      </c>
    </row>
    <row r="1580">
      <c r="B1580" s="22" t="inlineStr">
        <is>
          <t>MF3633 - MIRDIF SECURITY AND SAFETY CONSULTANTS</t>
        </is>
      </c>
    </row>
    <row r="1581">
      <c r="B1581" s="22" t="inlineStr">
        <is>
          <t>MF3628 - EMIRATES SPECIALIZED MEDICAL SERVICES</t>
        </is>
      </c>
    </row>
    <row r="1582">
      <c r="B1582" s="22" t="inlineStr">
        <is>
          <t>MF3622 - WELLNESS ONE DAY SURGERY CENTER L.L.C</t>
        </is>
      </c>
    </row>
    <row r="1583">
      <c r="B1583" s="22" t="inlineStr">
        <is>
          <t>MF3624 - VISTA CARE SPECIALIZED CLINIC - L.L.C. - S.P.C.</t>
        </is>
      </c>
    </row>
    <row r="1584">
      <c r="B1584" s="22" t="inlineStr">
        <is>
          <t>MF3342 - Al Badia Medical Complex L.L.C.</t>
        </is>
      </c>
    </row>
    <row r="1585">
      <c r="B1585" s="22" t="inlineStr">
        <is>
          <t>MF3627 - AL FORSAN FOR MEDICAL SERVICES - SOLE PROPRIETORSHIP L.L.C.</t>
        </is>
      </c>
    </row>
    <row r="1586">
      <c r="B1586" s="22" t="inlineStr">
        <is>
          <t xml:space="preserve">MF3620 - CLINIC DODSAL ENGINEERING AND CONSTRUCTION PTE LIMITED HABSHAN BRANCH </t>
        </is>
      </c>
    </row>
    <row r="1587">
      <c r="B1587" s="22" t="inlineStr">
        <is>
          <t>MF3698 - EMIRATES INSTITUTE HEALTH &amp; SAFETY L.L.C</t>
        </is>
      </c>
    </row>
    <row r="1588">
      <c r="B1588" s="22" t="inlineStr">
        <is>
          <t>MF3669 - CAMBRIDGE MEDICAL &amp; REHABILITATION CENTRE L.L.C BRANCH 1</t>
        </is>
      </c>
    </row>
    <row r="1589">
      <c r="B1589" s="22" t="inlineStr">
        <is>
          <t>MF3636 - AL HIKMA MEDICAL CENTRE L.L.C. - BRANCH 1</t>
        </is>
      </c>
    </row>
    <row r="1590">
      <c r="B1590" s="22" t="inlineStr">
        <is>
          <t>MF3699 - HEALTHLINE DAY CARE SURGERY L.L.C.</t>
        </is>
      </c>
    </row>
    <row r="1591">
      <c r="B1591" s="22" t="inlineStr">
        <is>
          <t>MF3733 - INTERNATIONAL AESTHETIC MEDICAL CENTER - SOLE PROPRIETORSHIP L.L.C.</t>
        </is>
      </c>
    </row>
    <row r="1592">
      <c r="B1592" s="22" t="inlineStr">
        <is>
          <t>MF3886 - STYLE SMILE ADVANCED DENTAL CENTER L.L.C.</t>
        </is>
      </c>
    </row>
    <row r="1593">
      <c r="B1593" s="22" t="inlineStr">
        <is>
          <t>MF3741 - TOUCH OF HEALTH MEDICAL POLYCLINIC BRANCH 1</t>
        </is>
      </c>
    </row>
    <row r="1594">
      <c r="B1594" s="22" t="inlineStr">
        <is>
          <t>MF3804 - JASMINE MEDICAL CENTER</t>
        </is>
      </c>
    </row>
    <row r="1595">
      <c r="B1595" s="22" t="inlineStr">
        <is>
          <t>MF3805 - JASMIN SHADOW HOSPITAL</t>
        </is>
      </c>
    </row>
    <row r="1596">
      <c r="B1596" s="22" t="inlineStr">
        <is>
          <t>MF3796 - YAS CLINIC ONE DAY SURGERY - SOLE PROPRIETORSHIP L.L.C.</t>
        </is>
      </c>
    </row>
    <row r="1597">
      <c r="B1597" s="22" t="inlineStr">
        <is>
          <t>MF3781 - AL QABAIL MEDICAL CENTRE L.L.C L.L.C.</t>
        </is>
      </c>
    </row>
    <row r="1598">
      <c r="B1598" s="22" t="inlineStr">
        <is>
          <t>MF3848 - INTEGRAL HEALTH  CARE SOLUTIONS</t>
        </is>
      </c>
    </row>
    <row r="1599">
      <c r="B1599" s="22" t="inlineStr">
        <is>
          <t>MF3842 - MILAN MEDICAL CENTER L.L.C</t>
        </is>
      </c>
    </row>
    <row r="1600">
      <c r="B1600" s="22" t="inlineStr">
        <is>
          <t>MF3832 - ALESIMA HOSPITAL</t>
        </is>
      </c>
    </row>
    <row r="1601">
      <c r="B1601" s="22" t="inlineStr">
        <is>
          <t>MF3810 - FLORENC HOME HEALTH CARE SERVICES CENTER - L.L.C - S.P.C</t>
        </is>
      </c>
    </row>
    <row r="1602">
      <c r="B1602" s="22" t="inlineStr">
        <is>
          <t>MF3854 - FAKIH ONE DAY SURGERY CENTER L.L.C.</t>
        </is>
      </c>
    </row>
    <row r="1603">
      <c r="B1603" s="22" t="inlineStr">
        <is>
          <t xml:space="preserve">MF4414 - AL MAFRAQUE JUVENILE CENTER CLINIC MANAGED BY BURJEEL HOSPITAL L.L.C </t>
        </is>
      </c>
    </row>
    <row r="1604">
      <c r="B1604" s="22" t="inlineStr">
        <is>
          <t>MF3932 - AL MARJAN RECRUITMENT SERVICES L L C</t>
        </is>
      </c>
    </row>
    <row r="1605">
      <c r="B1605" s="22" t="inlineStr">
        <is>
          <t>MF3916 - PETROFAC EMIRATES LLC CLINIC SARB 3 PROJECT - ADMA</t>
        </is>
      </c>
    </row>
    <row r="1606">
      <c r="B1606" s="22" t="inlineStr">
        <is>
          <t>MF3946 - KOHAT MEDICAL CENTRE - L.L.C - S.P.C</t>
        </is>
      </c>
    </row>
    <row r="1607">
      <c r="B1607" s="22" t="inlineStr">
        <is>
          <t>MF3931 - medstar icad medical center L.L.C-O.P.C</t>
        </is>
      </c>
    </row>
    <row r="1608">
      <c r="B1608" s="22" t="inlineStr">
        <is>
          <t>MF3989 - SALVADORA SPECIALIZED DENTAL CLINICS</t>
        </is>
      </c>
    </row>
    <row r="1609">
      <c r="B1609" s="22" t="inlineStr">
        <is>
          <t>MF3974 - ALSHROOQ HEALTH SERVICES CENTER - SOLE PROPRIETORSHIP L.L.C.</t>
        </is>
      </c>
    </row>
    <row r="1610">
      <c r="B1610" s="22" t="inlineStr">
        <is>
          <t>MF4330 - PREMIER GULF MANAGEMENT CONSULTANCY LLC</t>
        </is>
      </c>
    </row>
    <row r="1611">
      <c r="B1611" s="22" t="inlineStr">
        <is>
          <t>MF3983 - LLH MEDICAL CENTRE L.L.C.</t>
        </is>
      </c>
    </row>
    <row r="1612">
      <c r="B1612" s="22" t="inlineStr">
        <is>
          <t>MF4018 - ALMADINA MEDICAL CENTER FOR SPECIALTY CLINICS L L C -BRANCH 2</t>
        </is>
      </c>
    </row>
    <row r="1613">
      <c r="B1613" s="22" t="inlineStr">
        <is>
          <t>MF4067 - WELLNESS MEDICAL CLINIC</t>
        </is>
      </c>
    </row>
    <row r="1614">
      <c r="B1614" s="22" t="inlineStr">
        <is>
          <t>MF4063 - LIFE CITY DENTAL CLINIC</t>
        </is>
      </c>
    </row>
    <row r="1615">
      <c r="B1615" s="22" t="inlineStr">
        <is>
          <t>MF4088 - SMILE ART DENTAL CLINIC - BRANCH 1</t>
        </is>
      </c>
    </row>
    <row r="1616">
      <c r="B1616" s="22" t="inlineStr">
        <is>
          <t>MF4823 - AMERICAN CENTER FOR PSYCHIATRY &amp; NEUROLOGY L.L.C - BRANCH 1</t>
        </is>
      </c>
    </row>
    <row r="1617">
      <c r="B1617" s="22" t="inlineStr">
        <is>
          <t>MF4090 - DR SALIHA DENTAL CLINIC L.L.C SOLE PROPRIETORSHIP</t>
        </is>
      </c>
    </row>
    <row r="1618">
      <c r="B1618" s="22" t="inlineStr">
        <is>
          <t>MF4095 - VASCO HEALTH CARE LLC</t>
        </is>
      </c>
    </row>
    <row r="1619">
      <c r="B1619" s="22" t="inlineStr">
        <is>
          <t>MF4119 - AL THAWIYA RECRUITMENT SERVICES</t>
        </is>
      </c>
    </row>
    <row r="1620">
      <c r="B1620" s="22" t="inlineStr">
        <is>
          <t>MF4135 - FAKIH IVF FERTILITY CENTER L.L.C.- BRANCH1</t>
        </is>
      </c>
    </row>
    <row r="1621">
      <c r="B1621" s="22" t="inlineStr">
        <is>
          <t>MF4147 - C C  GLOBAL  - L.L.C - S.P.C</t>
        </is>
      </c>
    </row>
    <row r="1622">
      <c r="B1622" s="22" t="inlineStr">
        <is>
          <t>MF4130 - BOUNCEBACK PHYSIOTHERAPY TREATMENT CENTRE L.L.C.</t>
        </is>
      </c>
    </row>
    <row r="1623">
      <c r="B1623" s="22" t="inlineStr">
        <is>
          <t>MF4168 - ABU DHABI AIRPORT MEDICAL CENTER</t>
        </is>
      </c>
    </row>
    <row r="1624">
      <c r="B1624" s="22" t="inlineStr">
        <is>
          <t>MF4185 - ELITE MANAGEMENT TRAINING INSTITUTE L.L.C</t>
        </is>
      </c>
    </row>
    <row r="1625">
      <c r="B1625" s="22" t="inlineStr">
        <is>
          <t>MF4390 - LOS ANGELES HOSPITAL MANAGEMENT L.L.C.</t>
        </is>
      </c>
    </row>
    <row r="1626">
      <c r="B1626" s="22" t="inlineStr">
        <is>
          <t>MF4103 - ITALIAN DENTAL LABORATORY</t>
        </is>
      </c>
    </row>
    <row r="1627">
      <c r="B1627" s="22" t="inlineStr">
        <is>
          <t>MF4218 - AL JABER EST MEDICAL CLINIC SAADIYAT BRANCH</t>
        </is>
      </c>
    </row>
    <row r="1628">
      <c r="B1628" s="22" t="inlineStr">
        <is>
          <t>MF4236 - PARADISE MEDICAL CENTER L.L.C.</t>
        </is>
      </c>
    </row>
    <row r="1629">
      <c r="B1629" s="22" t="inlineStr">
        <is>
          <t>MF4283 - NEXT NATUAROPATHY CENTRE</t>
        </is>
      </c>
    </row>
    <row r="1630">
      <c r="B1630" s="22" t="inlineStr">
        <is>
          <t>MF4500 - NEXT CARE NURSING &amp; HEALTH CARE - BRANCH 1</t>
        </is>
      </c>
    </row>
    <row r="1631">
      <c r="B1631" s="22" t="inlineStr">
        <is>
          <t>MF4275 - AL JABER EST. MEDICAL CLINIC - SAADIYAT ACCOMODATION BRANCH</t>
        </is>
      </c>
    </row>
    <row r="1632">
      <c r="B1632" s="22" t="inlineStr">
        <is>
          <t>MF4276 - OXFORD MEDICAL CENTER L.L.C. - BRANCH 1</t>
        </is>
      </c>
    </row>
    <row r="1633">
      <c r="B1633" s="22" t="inlineStr">
        <is>
          <t>MF4353 - MEDICLINIC-KHALIFA CITY - L.L.C - O.P.C</t>
        </is>
      </c>
    </row>
    <row r="1634">
      <c r="B1634" s="22" t="inlineStr">
        <is>
          <t>MF4259 - GREEN APPLE MEDICAL CENTER</t>
        </is>
      </c>
    </row>
    <row r="1635">
      <c r="B1635" s="22" t="inlineStr">
        <is>
          <t>MF4322 - TAJMEEL SPECIALIZED MEDICAL CENTER L.L.C</t>
        </is>
      </c>
    </row>
    <row r="1636">
      <c r="B1636" s="22" t="inlineStr">
        <is>
          <t>MF4281 - MIOT EMIRATES HEALTHCARE INVESTMENT L.L.C</t>
        </is>
      </c>
    </row>
    <row r="1637">
      <c r="B1637" s="22" t="inlineStr">
        <is>
          <t>MF4388 - ATRAF REHABILITATION CENTER - L.L.C -  S.P.C</t>
        </is>
      </c>
    </row>
    <row r="1638">
      <c r="B1638" s="22" t="inlineStr">
        <is>
          <t>MF4398 - LAZORD MEDICAL CENTER - L.L.C</t>
        </is>
      </c>
    </row>
    <row r="1639">
      <c r="B1639" s="22" t="inlineStr">
        <is>
          <t>MF4360 - EMIRATES TRANSPORT TRAINING CENTER</t>
        </is>
      </c>
    </row>
    <row r="1640">
      <c r="B1640" s="22" t="inlineStr">
        <is>
          <t>MF4478 - ARIZONA MEDICAL DENTAL CENTRE LLC</t>
        </is>
      </c>
    </row>
    <row r="1641">
      <c r="B1641" s="22" t="inlineStr">
        <is>
          <t>MF4459 - TAJMEEL VPS DENTAL CENTER L.L.C.</t>
        </is>
      </c>
    </row>
    <row r="1642">
      <c r="B1642" s="22" t="inlineStr">
        <is>
          <t>MF4438 - PATTAYA MEDICAL CENTRE L.L.C.</t>
        </is>
      </c>
    </row>
    <row r="1643">
      <c r="B1643" s="22" t="inlineStr">
        <is>
          <t>MF4489 - CAPITAL MEDICAL CENTRE FOR HEALTH SCREENING MOBILE UNIT NO.3</t>
        </is>
      </c>
    </row>
    <row r="1644">
      <c r="B1644" s="22" t="inlineStr">
        <is>
          <t>MF4462 - VAMED MIDDLE EAST HEALTHCARE MANAGEMENT AND CONSULTANCY SERVICES LLC</t>
        </is>
      </c>
    </row>
    <row r="1645">
      <c r="B1645" s="22" t="inlineStr">
        <is>
          <t>MF4499 - COSMESURGE EMIRATES SPECIALTY HOSPITAL L.L.C - FERTILITY CENTER</t>
        </is>
      </c>
    </row>
    <row r="1646">
      <c r="B1646" s="22" t="inlineStr">
        <is>
          <t>MF4609 - WAHAT AL SHIFAA HOSPITAL</t>
        </is>
      </c>
    </row>
    <row r="1647">
      <c r="B1647" s="22" t="inlineStr">
        <is>
          <t>MF4543 - BRIGHT SMILE MEDICAL CENTER- L.L.C - O.P.C</t>
        </is>
      </c>
    </row>
    <row r="1648">
      <c r="B1648" s="22" t="inlineStr">
        <is>
          <t xml:space="preserve">MF4521 - ALANAMIL FERTILITY CENTER </t>
        </is>
      </c>
    </row>
    <row r="1649">
      <c r="B1649" s="22" t="inlineStr">
        <is>
          <t>MF4526 - MANIPAL MEDICAL CENTRE L.L.C.</t>
        </is>
      </c>
    </row>
    <row r="1650">
      <c r="B1650" s="22" t="inlineStr">
        <is>
          <t>MF4639 - ALFA GULF HOME HEALTH CARE SERVICES</t>
        </is>
      </c>
    </row>
    <row r="1651">
      <c r="B1651" s="22" t="inlineStr">
        <is>
          <t>MF4542 - DIWAN CLINIC</t>
        </is>
      </c>
    </row>
    <row r="1652">
      <c r="B1652" s="22" t="inlineStr">
        <is>
          <t>MF4559 - NOOR AL AMAL HOME HEALTH CARE CENTER</t>
        </is>
      </c>
    </row>
    <row r="1653">
      <c r="B1653" s="22" t="inlineStr">
        <is>
          <t>MF4582 - LUXURY HOME HEALTH CARE</t>
        </is>
      </c>
    </row>
    <row r="1654">
      <c r="B1654" s="22" t="inlineStr">
        <is>
          <t>MF4632 - DR MASSEFA MEDICAL CENTER</t>
        </is>
      </c>
    </row>
    <row r="1655">
      <c r="B1655" s="22" t="inlineStr">
        <is>
          <t>MF4586 - AL MARIAH HEALTH CARE SERVICES</t>
        </is>
      </c>
    </row>
    <row r="1656">
      <c r="B1656" s="22" t="inlineStr">
        <is>
          <t>MF4614 - MOBILE DECONTAMINATION UNIT 1</t>
        </is>
      </c>
    </row>
    <row r="1657">
      <c r="B1657" s="22" t="inlineStr">
        <is>
          <t xml:space="preserve">MF4628 - HEALTH WAY HOME HEALTH CARE </t>
        </is>
      </c>
    </row>
    <row r="1658">
      <c r="B1658" s="22" t="inlineStr">
        <is>
          <t>MF4708 - MANAZEL MEDICAL CITY FERTILITY CENTER L.L.C.</t>
        </is>
      </c>
    </row>
    <row r="1659">
      <c r="B1659" s="22" t="inlineStr">
        <is>
          <t>MF4638 - PROFESSIONAL HANDS HOME HEALTH CARE</t>
        </is>
      </c>
    </row>
    <row r="1660">
      <c r="B1660" s="22" t="inlineStr">
        <is>
          <t>MF4620 - TAJMEEL DENTAL CENTER L.L.C. - BRANCH 6</t>
        </is>
      </c>
    </row>
    <row r="1661">
      <c r="B1661" s="22" t="inlineStr">
        <is>
          <t>MF4644 - ALHELAL ALFEDDY MEDICAL CENTER</t>
        </is>
      </c>
    </row>
    <row r="1662">
      <c r="B1662" s="22" t="inlineStr">
        <is>
          <t>MF4671 - AL BURAQ AL ABYAD HOME HEALTH CARE CENTER  L.L.C.</t>
        </is>
      </c>
    </row>
    <row r="1663">
      <c r="B1663" s="22" t="inlineStr">
        <is>
          <t>MF4682 - TANA MEDICAL HEALTH CENTRE</t>
        </is>
      </c>
    </row>
    <row r="1664">
      <c r="B1664" s="22" t="inlineStr">
        <is>
          <t>MF4666 - OXYGEN AMBULATORY CARE FACILITY</t>
        </is>
      </c>
    </row>
    <row r="1665">
      <c r="B1665" s="22" t="inlineStr">
        <is>
          <t>MF4673 - 360 CURE MEDICAL CENTRE L.L.C</t>
        </is>
      </c>
    </row>
    <row r="1666">
      <c r="B1666" s="22" t="inlineStr">
        <is>
          <t>MF4674 - GOLDEN HEALTH MEDICAL CLINIC-SOLE PROPRIETORSHIP L.L.C.</t>
        </is>
      </c>
    </row>
    <row r="1667">
      <c r="B1667" s="22" t="inlineStr">
        <is>
          <t>MF4720 - TRABULSI CONSULTANT MEDICAL POLY CLINIC L.L.C. - BRANCH 1</t>
        </is>
      </c>
    </row>
    <row r="1668">
      <c r="B1668" s="22" t="inlineStr">
        <is>
          <t>MF4685 - ELITE HOME CARE MEDICAL</t>
        </is>
      </c>
    </row>
    <row r="1669">
      <c r="B1669" s="22" t="inlineStr">
        <is>
          <t>MF4838 - MILLENNIUM HOSPITAL L.L.C</t>
        </is>
      </c>
    </row>
    <row r="1670">
      <c r="B1670" s="22" t="inlineStr">
        <is>
          <t>MF4765 - ARGC INTERNATIONAL IVF CENTRE L.L.C</t>
        </is>
      </c>
    </row>
    <row r="1671">
      <c r="B1671" s="22" t="inlineStr">
        <is>
          <t>MF4739 - DHAFIR HEALTHCARE SERVICES L.L.C.</t>
        </is>
      </c>
    </row>
    <row r="1672">
      <c r="B1672" s="22" t="inlineStr">
        <is>
          <t>MF4815 - CAREWELL CLINICS - SOLE PROPRIETORSHIP L.L.C.</t>
        </is>
      </c>
    </row>
    <row r="1673">
      <c r="B1673" s="22" t="inlineStr">
        <is>
          <t>MF4808 - AL SAQAR AMBULANCE SERVICES</t>
        </is>
      </c>
    </row>
    <row r="1674">
      <c r="B1674" s="22" t="inlineStr">
        <is>
          <t>MF4785 - Sparkle Dental Boutique L.L.C.</t>
        </is>
      </c>
    </row>
    <row r="1675">
      <c r="B1675" s="22" t="inlineStr">
        <is>
          <t>MF4824 - TABIBAK MOBILE MEDICAL UNIT OWEND BY IBRAHIM ABDULNOOR ALZAROONI - ONE MAN COMPANY L.L.C</t>
        </is>
      </c>
    </row>
    <row r="1676">
      <c r="B1676" s="22" t="inlineStr">
        <is>
          <t>MF4999 - PHOENIX MEDICAL TRAINING INSTITUTE LLC</t>
        </is>
      </c>
    </row>
    <row r="1677">
      <c r="B1677" s="22" t="inlineStr">
        <is>
          <t>MF4807 - MARBELLA MEDICAL CENTRE - SOLE PROPRIETORSHIP L.L.C.</t>
        </is>
      </c>
    </row>
    <row r="1678">
      <c r="B1678" s="22" t="inlineStr">
        <is>
          <t>MF4818 - BEAULINK MEDICAL CENTER</t>
        </is>
      </c>
    </row>
    <row r="1679">
      <c r="B1679" s="22" t="inlineStr">
        <is>
          <t>MF4127 - ART FERTILITY CLINICS LLC - SPC</t>
        </is>
      </c>
    </row>
    <row r="1680">
      <c r="B1680" s="22" t="inlineStr">
        <is>
          <t>MF4834 - IBN SINA MEDICAL CENTER - SOLE PROPRIETORSHIP L.L.C - BRANCH</t>
        </is>
      </c>
    </row>
    <row r="1681">
      <c r="B1681" s="22" t="inlineStr">
        <is>
          <t>MF4886 - SUPPORT HEALTH CARE</t>
        </is>
      </c>
    </row>
    <row r="1682">
      <c r="B1682" s="22" t="inlineStr">
        <is>
          <t>MF4844 - SEHATY MEDICAL CLINIC OWNED BY IBRAHIM ABDULNOOR ALZAROONI - SOLE PROPRIETORSHIP L.L.C</t>
        </is>
      </c>
    </row>
    <row r="1683">
      <c r="B1683" s="22" t="inlineStr">
        <is>
          <t>MF4881 - NOOR ALAHLIA OPHTHALMOLOGY ONE DAY SURGERY MEDICAL CENTER</t>
        </is>
      </c>
    </row>
    <row r="1684">
      <c r="B1684" s="22" t="inlineStr">
        <is>
          <t>MF4905 - DAVINCI DENTAL LAB - L.L.C - O.P.C</t>
        </is>
      </c>
    </row>
    <row r="1685">
      <c r="B1685" s="22" t="inlineStr">
        <is>
          <t>MF4937 - HOUSE OF NATURE NATURAL CARE CENTER L.L.C</t>
        </is>
      </c>
    </row>
    <row r="1686">
      <c r="B1686" s="22" t="inlineStr">
        <is>
          <t>MF4957 - NEW LOOK MEDICAL CENTER - SOLE PROPRIETORSHIP L.L.C.</t>
        </is>
      </c>
    </row>
    <row r="1687">
      <c r="B1687" s="22" t="inlineStr">
        <is>
          <t>MF4946 - ELEGANCE MEDICAL CENTER L.L.C</t>
        </is>
      </c>
    </row>
    <row r="1688">
      <c r="B1688" s="22" t="inlineStr">
        <is>
          <t>MF4961 - INDUS MEDICAL CENTRE LLC</t>
        </is>
      </c>
    </row>
    <row r="1689">
      <c r="B1689" s="22" t="inlineStr">
        <is>
          <t>MF4967 - HORIZON HOME HEALTH SERVICES CENTRE</t>
        </is>
      </c>
    </row>
    <row r="1690">
      <c r="B1690" s="22" t="inlineStr">
        <is>
          <t>MF5007 - CENTURY MEDICAL CENTER</t>
        </is>
      </c>
    </row>
    <row r="1691">
      <c r="B1691" s="22" t="inlineStr">
        <is>
          <t>MF5058 - ALMADA MEDICAL CENTER</t>
        </is>
      </c>
    </row>
    <row r="1692">
      <c r="B1692" s="22" t="inlineStr">
        <is>
          <t>MF5092 - EMIRATES CONFIDENTY MEDICAL CENTER-L.L.C</t>
        </is>
      </c>
    </row>
    <row r="1693">
      <c r="B1693" s="22" t="inlineStr">
        <is>
          <t>MF5177 - PERFECT BALANCE REHABILITATION CENTRE LTD</t>
        </is>
      </c>
    </row>
    <row r="1694">
      <c r="B1694" s="22" t="inlineStr">
        <is>
          <t>MF5176 - NATIONAL EMIRATES FOR MEDICAL SERVICES L.L.C. - BRANCH 1</t>
        </is>
      </c>
    </row>
    <row r="1695">
      <c r="B1695" s="22" t="inlineStr">
        <is>
          <t>MF5164 - AL DHAFRA FOOTBALL SPORTS CLUB COMPANY L.L.C. MEDICAL CENTER</t>
        </is>
      </c>
    </row>
    <row r="1696">
      <c r="B1696" s="22" t="inlineStr">
        <is>
          <t>MF5236 - ALAMAL CENTRE FOR THE CARE AND REHABILITAION OF THE DISABLED</t>
        </is>
      </c>
    </row>
    <row r="1697">
      <c r="B1697" s="22" t="inlineStr">
        <is>
          <t>MF5193 - ALREHAB MEDICAL CENTER -SOLE PROPRIETOSHIP L.L.C</t>
        </is>
      </c>
    </row>
    <row r="1698">
      <c r="B1698" s="22" t="inlineStr">
        <is>
          <t>MF3828 - UNITED EASTERN MEDICAL SERVICES - L.L.C  S.P.C</t>
        </is>
      </c>
    </row>
    <row r="1699">
      <c r="B1699" s="22" t="inlineStr">
        <is>
          <t>MF5315 - CMC CLINIC COSMETIC SURGERY</t>
        </is>
      </c>
    </row>
    <row r="1700">
      <c r="B1700" s="22" t="inlineStr">
        <is>
          <t>MF5020 - NEW LOOK MEDICAL CENTER - SOLE PROPRIETORSHIP L.L.C. - BRANCH</t>
        </is>
      </c>
    </row>
    <row r="1701">
      <c r="B1701" s="22" t="inlineStr">
        <is>
          <t>MF5308 - ACCUCARE TEL MEDICINE CENTER</t>
        </is>
      </c>
    </row>
    <row r="1702">
      <c r="B1702" s="22" t="inlineStr">
        <is>
          <t xml:space="preserve">MF5261 - CHARISMA MEDICAL CENTER L.L.C </t>
        </is>
      </c>
    </row>
    <row r="1703">
      <c r="B1703" s="22" t="inlineStr">
        <is>
          <t>MF5275 - ABU DHABI REFINERY CLINIC</t>
        </is>
      </c>
    </row>
    <row r="1704">
      <c r="B1704" s="22" t="inlineStr">
        <is>
          <t>MF5312 - LLH MEDICAL CENTRE AL MUSAFFAH L.L.C - BRANCH 3</t>
        </is>
      </c>
    </row>
    <row r="1705">
      <c r="B1705" s="22" t="inlineStr">
        <is>
          <t>MF4998 - FIRST SELECT EMPLOYMENT SERVICES</t>
        </is>
      </c>
    </row>
    <row r="1706">
      <c r="B1706" s="22" t="inlineStr">
        <is>
          <t>MF5307 - AL SHUMOOLI ALTERNATIVE MEDICAL AND HEJAMA CENTER</t>
        </is>
      </c>
    </row>
    <row r="1707">
      <c r="B1707" s="22" t="inlineStr">
        <is>
          <t>MF5317 - BARADA MEDICAL CENTER - L.L.C -S.P.C - BRANCH</t>
        </is>
      </c>
    </row>
    <row r="1708">
      <c r="B1708" s="22" t="inlineStr">
        <is>
          <t>MF5316 - MARASEE DENTAL LAB L.L.C</t>
        </is>
      </c>
    </row>
    <row r="1709">
      <c r="B1709" s="22" t="inlineStr">
        <is>
          <t>MF5341 - TRUE CARE MEDICAL SERVICES</t>
        </is>
      </c>
    </row>
    <row r="1710">
      <c r="B1710" s="22" t="inlineStr">
        <is>
          <t>MF5348 - Cure Plus Medical Center LLC</t>
        </is>
      </c>
    </row>
    <row r="1711">
      <c r="B1711" s="22" t="inlineStr">
        <is>
          <t>MF5381 - AL MADINA CENTER FOR CUPPING AND MASSAGE AND HERBAL SERVICES</t>
        </is>
      </c>
    </row>
    <row r="1712">
      <c r="B1712" s="22" t="inlineStr">
        <is>
          <t>MF5434 - SAMA HEALTH SCOPE HOME HEALTH CENTRE</t>
        </is>
      </c>
    </row>
    <row r="1713">
      <c r="B1713" s="22" t="inlineStr">
        <is>
          <t>MF4198 - DR.MUNA ALMURRAWI MEDICAL CENTER - SOLE PROPRIETORSHIP L.L.C.</t>
        </is>
      </c>
    </row>
    <row r="1714">
      <c r="B1714" s="22" t="inlineStr">
        <is>
          <t>MF5428 - H H C MEDICAL CLINIC - SOLE PROPRIETORSHIP L.L.C.</t>
        </is>
      </c>
    </row>
    <row r="1715">
      <c r="B1715" s="22" t="inlineStr">
        <is>
          <t>MF5442 - MOON FLOWER ONE DAY SURGERY</t>
        </is>
      </c>
    </row>
    <row r="1716">
      <c r="B1716" s="22" t="inlineStr">
        <is>
          <t>MF5440 - ALIGN REHABILITATION CENTRE L.L.C.</t>
        </is>
      </c>
    </row>
    <row r="1717">
      <c r="B1717" s="22" t="inlineStr">
        <is>
          <t>MF5447 - PHONAK REHABILITATION CENTER - SOLE PROPRIETORSHIP L.L.C</t>
        </is>
      </c>
    </row>
    <row r="1718">
      <c r="B1718" s="22" t="inlineStr">
        <is>
          <t>MF5558 - A M C MEDICAL CLINIC - SOLE PROPRIETORSHIP L.L.C</t>
        </is>
      </c>
    </row>
    <row r="1719">
      <c r="B1719" s="22" t="inlineStr">
        <is>
          <t>MF5665 - EVERLAST WELLNESS MEDICAL CENTER L.L.C. BRANCH 2</t>
        </is>
      </c>
    </row>
    <row r="1720">
      <c r="B1720" s="22" t="inlineStr">
        <is>
          <t>MF5482 - NEPHRO CARE HOME HEMODIALYSIS L.L.C.</t>
        </is>
      </c>
    </row>
    <row r="1721">
      <c r="B1721" s="22" t="inlineStr">
        <is>
          <t xml:space="preserve">MF5510 - SAFEWAY HEALTH CARE AND AMBULANCE MANAGMENTS - L.L.C. - S.P.C </t>
        </is>
      </c>
    </row>
    <row r="1722">
      <c r="B1722" s="22" t="inlineStr">
        <is>
          <t>MF5512 - TRUE SMILE DENTAL CENTER LTD</t>
        </is>
      </c>
    </row>
    <row r="1723">
      <c r="B1723" s="22" t="inlineStr">
        <is>
          <t>MF5562 - ALHADAF MEDICAL CENTER</t>
        </is>
      </c>
    </row>
    <row r="1724">
      <c r="B1724" s="22" t="inlineStr">
        <is>
          <t>MF5640 - SEHA AMBULANCE SERVICES</t>
        </is>
      </c>
    </row>
    <row r="1725">
      <c r="B1725" s="22" t="inlineStr">
        <is>
          <t>MF5536 - BRILLIANT NURSING TRAINING CENTER L.L.C.</t>
        </is>
      </c>
    </row>
    <row r="1726">
      <c r="B1726" s="22" t="inlineStr">
        <is>
          <t>MF3666 - MEDLUX MEDICAL CENTER L.L.C.</t>
        </is>
      </c>
    </row>
    <row r="1727">
      <c r="B1727" s="22" t="inlineStr">
        <is>
          <t>MF5642 - CARESWORTH MEDICAL CENTER</t>
        </is>
      </c>
    </row>
    <row r="1728">
      <c r="B1728" s="22" t="inlineStr">
        <is>
          <t>MF5646 - AL WAQAN CARE AND REHABILITATION CENTER FOR PEOPLE OF SPECIAL NEEDS</t>
        </is>
      </c>
    </row>
    <row r="1729">
      <c r="B1729" s="22" t="inlineStr">
        <is>
          <t xml:space="preserve">MF5174 - BANIYAS SPORTS &amp; CULTURAL CLUB MEDICAL CENTRE </t>
        </is>
      </c>
    </row>
    <row r="1730">
      <c r="B1730" s="22" t="inlineStr">
        <is>
          <t>MF5511 - DECISION SUPPORT CONSULTANCY</t>
        </is>
      </c>
    </row>
    <row r="1731">
      <c r="B1731" s="22" t="inlineStr">
        <is>
          <t>MF968 - HEALTH AND STYLE MEDICAL CENTRE- SOLE PROPRIETORSHIP L.L.C</t>
        </is>
      </c>
    </row>
    <row r="1732">
      <c r="B1732" s="22" t="inlineStr">
        <is>
          <t>MF5628 - UNITEAM PRIMARY HEALTH CARE CENTER L.L.C. - BRANCH - AL SALAMAT</t>
        </is>
      </c>
    </row>
    <row r="1733">
      <c r="B1733" s="22" t="inlineStr">
        <is>
          <t>MF1898 - AL THURYA DENTAL IMPLANT CENTER - SOLE PROPRIETORSHIP L.L.C.</t>
        </is>
      </c>
    </row>
    <row r="1734">
      <c r="B1734" s="22" t="inlineStr">
        <is>
          <t>MF5674 - UMM AL LULU CLINIC</t>
        </is>
      </c>
    </row>
    <row r="1735">
      <c r="B1735" s="22" t="inlineStr">
        <is>
          <t>MF2618 - CZECH REHABILITATION HOSPITAL   - SOLE PROPRIETORSHIP L.L.C.</t>
        </is>
      </c>
    </row>
    <row r="1736">
      <c r="B1736" s="22" t="inlineStr">
        <is>
          <t>MF5303 - NMC ROYAL MEDICAL CENTRE LTD- Abu Dhabi</t>
        </is>
      </c>
    </row>
    <row r="1737">
      <c r="B1737" s="22" t="inlineStr">
        <is>
          <t>MF5735 - MEZYAD REHABILITATION CENTER</t>
        </is>
      </c>
    </row>
    <row r="1738">
      <c r="B1738" s="22" t="inlineStr">
        <is>
          <t>MF5687 - MEDICLINIC HOSPITALS L.L.C. (CLINICS) - BRANCH / ABU DHABI POLICE COLLEGE</t>
        </is>
      </c>
    </row>
    <row r="1739">
      <c r="B1739" s="22" t="inlineStr">
        <is>
          <t>MF5734 - CARE ZONE MEDICAL TREATMENT SERVICES-SOLE PROPRIETORSHIP L.L.C.</t>
        </is>
      </c>
    </row>
    <row r="1740">
      <c r="B1740" s="22" t="inlineStr">
        <is>
          <t>MF4407 - COSMESURGE ZAKHER MEDICAL CENTER L.L.C L.L.C.</t>
        </is>
      </c>
    </row>
    <row r="1741">
      <c r="B1741" s="22" t="inlineStr">
        <is>
          <t>MF3824 - INFINITY MEDICAL SERVICES - SOLE PROPRIETORSHIP L.L.C.</t>
        </is>
      </c>
    </row>
    <row r="1742">
      <c r="B1742" s="22" t="inlineStr">
        <is>
          <t>MF5743 - REEM HEALTHCARE FACILITIES MANAGEMENT L.L.C</t>
        </is>
      </c>
    </row>
    <row r="1743">
      <c r="B1743" s="22" t="inlineStr">
        <is>
          <t>MF7017 - AL JANAEN SCHOOL - SOLE PROPRIETORSHIP L.L.C.</t>
        </is>
      </c>
    </row>
    <row r="1744">
      <c r="B1744" s="22" t="inlineStr">
        <is>
          <t>MF5276 - National Ambulance -Sole Proprietorship L.L.C -Branch</t>
        </is>
      </c>
    </row>
    <row r="1745">
      <c r="B1745" s="22" t="inlineStr">
        <is>
          <t>MF7015 - RAHA INTERNATIONAL SCHOOL KHALIFA-A</t>
        </is>
      </c>
    </row>
    <row r="1746">
      <c r="B1746" s="22" t="inlineStr">
        <is>
          <t>MF7037 - LLH CLINIC ALREEM L.L.C.</t>
        </is>
      </c>
    </row>
    <row r="1747">
      <c r="B1747" s="22" t="inlineStr">
        <is>
          <t>MF7039 - HEALTH AND FITNESS CLINIC - SOLE PROPRIETORSHIP L.L.C.</t>
        </is>
      </c>
    </row>
    <row r="1748">
      <c r="B1748" s="22" t="inlineStr">
        <is>
          <t>MF7048 - ART FERTILITY CLINICS - L.L.C - S.P.C - BRANCH</t>
        </is>
      </c>
    </row>
    <row r="1749">
      <c r="B1749" s="22" t="inlineStr">
        <is>
          <t>MF7022 - AL SALAM SCHOOL - SOLE PROPRIETORSHIP L.L.C. CLINIC</t>
        </is>
      </c>
    </row>
    <row r="1750">
      <c r="B1750" s="22" t="inlineStr">
        <is>
          <t>MF7101 - WAHAT AL AMAN HOME HEALTH CARE L.L.C. - BRANCH</t>
        </is>
      </c>
    </row>
    <row r="1751">
      <c r="B1751" s="22" t="inlineStr">
        <is>
          <t>MF7105 - OSA AYURVEDIC MEDICAL CENTER</t>
        </is>
      </c>
    </row>
    <row r="1752">
      <c r="B1752" s="22" t="inlineStr">
        <is>
          <t>MF7055 - DHIYARA MEDICAL CENTER</t>
        </is>
      </c>
    </row>
    <row r="1753">
      <c r="B1753" s="22" t="inlineStr">
        <is>
          <t>MF195 - Canadian Dental Medical Center</t>
        </is>
      </c>
    </row>
    <row r="1754">
      <c r="B1754" s="22" t="inlineStr">
        <is>
          <t>MF7511 - SOMERIAN CARE MEDICAL CLINIC - Sole Proprietorship L.L.C.</t>
        </is>
      </c>
    </row>
    <row r="1755">
      <c r="B1755" s="22" t="inlineStr">
        <is>
          <t>MF7320 - AL THIQAH REHABILITATION CENTER-SOLE.PROPRIETORSHIPL.C.C</t>
        </is>
      </c>
    </row>
    <row r="1756">
      <c r="B1756" s="22" t="inlineStr">
        <is>
          <t>MF7150 - AD – 130 Clinic</t>
        </is>
      </c>
    </row>
    <row r="1757">
      <c r="B1757" s="22" t="inlineStr">
        <is>
          <t>MF7219 - AMERICAN COSMETIC AND DENTAL ARTS MEDICAL CENTER - L.L.C</t>
        </is>
      </c>
    </row>
    <row r="1758">
      <c r="B1758" s="22" t="inlineStr">
        <is>
          <t>MF7294 - AL JABER LEASING SERVICES - L.L.C</t>
        </is>
      </c>
    </row>
    <row r="1759">
      <c r="B1759" s="22" t="inlineStr">
        <is>
          <t>MF7209 - NEOPHARMA L L C</t>
        </is>
      </c>
    </row>
    <row r="1760">
      <c r="B1760" s="22" t="inlineStr">
        <is>
          <t>MF7329 - GAVA DOWNTOWN HEALTHCARE CENTRE - L.L.C - O.P.C</t>
        </is>
      </c>
    </row>
    <row r="1761">
      <c r="B1761" s="22" t="inlineStr">
        <is>
          <t>MF268 - HADDAD MEDICAL &amp; DENTAL CENTRE - SOLE PROPRIETORSHIP L.L.C.</t>
        </is>
      </c>
    </row>
    <row r="1762">
      <c r="B1762" s="22" t="inlineStr">
        <is>
          <t>MF4377 - ADVANCE CURE DIAGONOSTIC CENTRE -LLC -- BRANCH 2</t>
        </is>
      </c>
    </row>
    <row r="1763">
      <c r="B1763" s="22" t="inlineStr">
        <is>
          <t>MF7248 - AIN AL FAYEDHA SCHOOL - SOLE PROPRIETORSHIP L.L.C.</t>
        </is>
      </c>
    </row>
    <row r="1764">
      <c r="B1764" s="22" t="inlineStr">
        <is>
          <t>MF7386 - Vocational Education Development Centre Clinic (VEDC) - Abu Dhabi</t>
        </is>
      </c>
    </row>
    <row r="1765">
      <c r="B1765" s="22" t="inlineStr">
        <is>
          <t>MF7419 - DIVERSIFIED INTEGRATED MEDICAL CENTER L.L.C.</t>
        </is>
      </c>
    </row>
    <row r="1766">
      <c r="B1766" s="22" t="inlineStr">
        <is>
          <t>MF7423 - DELICATE DENTAL CENTRE - L.L.C</t>
        </is>
      </c>
    </row>
    <row r="1767">
      <c r="B1767" s="22" t="inlineStr">
        <is>
          <t>MF7439 - SUNGLASS HUT MIDDLE EAST OPTICALS L.L.C -BRANCH OF ABU DHABI</t>
        </is>
      </c>
    </row>
    <row r="1768">
      <c r="B1768" s="22" t="inlineStr">
        <is>
          <t>MF7146 - NOOR ALDANA OPTICAL L.L.C.</t>
        </is>
      </c>
    </row>
    <row r="1769">
      <c r="B1769" s="22" t="inlineStr">
        <is>
          <t>MF7314 - THE LIFE CORNER  L.L.C.</t>
        </is>
      </c>
    </row>
    <row r="1770">
      <c r="B1770" s="22" t="inlineStr">
        <is>
          <t>MF7486 - Primary-Test1234</t>
        </is>
      </c>
    </row>
    <row r="1771">
      <c r="B1771" s="22" t="inlineStr">
        <is>
          <t>MF7493 - SKMC Mortuary</t>
        </is>
      </c>
    </row>
    <row r="1772">
      <c r="B1772" s="22" t="inlineStr">
        <is>
          <t>MF7492 - SSMC Mortuary</t>
        </is>
      </c>
    </row>
    <row r="1773">
      <c r="B1773" s="22" t="inlineStr">
        <is>
          <t>MF7239 - SIGNATURE MEDICAL CENTER - SOLE PROPRIETORSHIP L.L.C.</t>
        </is>
      </c>
    </row>
    <row r="1774">
      <c r="B1774" s="22" t="inlineStr">
        <is>
          <t>MF3232 - NATIONAL EMIRATES FOR MEDICAL SERVICES - SOLE PROPRIETORSHIP L.L.C</t>
        </is>
      </c>
    </row>
    <row r="1775">
      <c r="B1775" s="22" t="inlineStr">
        <is>
          <t>MF7579 - SOMERIAN HEALTH DIAGNOSTIC CENTRE- MAFRAQ</t>
        </is>
      </c>
    </row>
    <row r="1776">
      <c r="B1776" s="22" t="inlineStr">
        <is>
          <t>MF7587 - DIAL TELE HEALTH L.L.C.</t>
        </is>
      </c>
    </row>
    <row r="1777">
      <c r="B1777" s="22" t="inlineStr">
        <is>
          <t>MF7593 - Zayed City School clinic</t>
        </is>
      </c>
    </row>
    <row r="1778">
      <c r="B1778" s="22" t="inlineStr">
        <is>
          <t>MF7637 - VIP DOCTOR L.L.C - BRANCH OF ABU DHABI 3</t>
        </is>
      </c>
    </row>
    <row r="1779">
      <c r="B1779" s="22" t="inlineStr">
        <is>
          <t>MF7667 - AL ASHFAQ TRANSPORTING &amp; GENERAL CONTRACTING ESTABLISHMENT</t>
        </is>
      </c>
    </row>
    <row r="1780">
      <c r="B1780" s="22" t="inlineStr">
        <is>
          <t>MF7425 - OFFSHORE HEALTH SERVICES INTERNATIONAL  L.L.C.</t>
        </is>
      </c>
    </row>
    <row r="1781">
      <c r="B1781" s="22" t="inlineStr">
        <is>
          <t>MF7681 - SKIN CODE MEDICAL CENTER - L.L.C</t>
        </is>
      </c>
    </row>
    <row r="1782">
      <c r="B1782" s="22" t="inlineStr">
        <is>
          <t>MF7683 - MAGRABI OPTICAL COMPANY - W L L  - BRANCH OF ABU DHABI 26</t>
        </is>
      </c>
    </row>
    <row r="1783">
      <c r="B1783" s="22" t="inlineStr">
        <is>
          <t xml:space="preserve">MF7690 - BURJEEL DAY SURGERY CENTRE AL DHAFRA L.L.C </t>
        </is>
      </c>
    </row>
    <row r="1784">
      <c r="B1784" s="22" t="inlineStr">
        <is>
          <t>MF7702 - DAR SANAD Medical Center</t>
        </is>
      </c>
    </row>
    <row r="1785">
      <c r="B1785" s="22" t="inlineStr">
        <is>
          <t>MF7703 - ADESA HEALTHCARE SERVICES - SOLE PROPRIETORSHIP L.L.C.</t>
        </is>
      </c>
    </row>
    <row r="1786">
      <c r="B1786" s="22" t="inlineStr">
        <is>
          <t>MF7722 - Rabdan Academy</t>
        </is>
      </c>
    </row>
    <row r="1787">
      <c r="B1787" s="22" t="inlineStr">
        <is>
          <t>MF7731 - BLUE PRIME DENTAL LABORATORY - L.L.C - O.P.C</t>
        </is>
      </c>
    </row>
    <row r="1788">
      <c r="B1788" s="22" t="inlineStr">
        <is>
          <t>MF7178 - DR BATOUL REFFAI MEDICAL CENTER - L.L.C - S.P.C</t>
        </is>
      </c>
    </row>
    <row r="1789">
      <c r="B1789" s="22" t="inlineStr">
        <is>
          <t>MF7740 - IRIS OPTICS   - SOLE PROPRIETORSHIP L.L.C.</t>
        </is>
      </c>
    </row>
    <row r="1790">
      <c r="B1790" s="22" t="inlineStr">
        <is>
          <t>MF7743 - MASUMA AYURVEDA CENTRE - SOLE PROPRIETORSHIP L.L.C.</t>
        </is>
      </c>
    </row>
    <row r="1791">
      <c r="B1791" s="22" t="inlineStr">
        <is>
          <t>MF7433 - TAMARA POLYCLINICS L L C</t>
        </is>
      </c>
    </row>
    <row r="1792">
      <c r="B1792" s="22" t="inlineStr">
        <is>
          <t>MF844 - AMWAJ MEDICAL CENTRE L L C</t>
        </is>
      </c>
    </row>
    <row r="1793">
      <c r="B1793" s="22" t="inlineStr">
        <is>
          <t>MF7605 - TRES JOLIE MEDICAL CENTRE L.L.C</t>
        </is>
      </c>
    </row>
    <row r="1794">
      <c r="B1794" s="22" t="inlineStr">
        <is>
          <t>MF7204 - MILAN CLINIC MEDICAL CENTER - SOLE PROPRIETORSHIP L.L.C.</t>
        </is>
      </c>
    </row>
    <row r="1795">
      <c r="B1795" s="22" t="inlineStr">
        <is>
          <t>MF7759 - DYNAMIC DENTAL LABORATORY L.L.C</t>
        </is>
      </c>
    </row>
    <row r="1796">
      <c r="B1796" s="22" t="inlineStr">
        <is>
          <t>MF1974 - NEW MEDICAL CENTRE SPECIALTY HOSPITAL LTD-ABU DHABI</t>
        </is>
      </c>
    </row>
    <row r="1797">
      <c r="B1797" s="22" t="inlineStr">
        <is>
          <t>MF7782 - JOBINEVA HEALTH CARE SERVICES- L.L.C S.P.C</t>
        </is>
      </c>
    </row>
    <row r="1798">
      <c r="B1798" s="22" t="inlineStr">
        <is>
          <t>MF7802 - DIBBER NURSERY - SOLE PROPRIETORSHIP L.L.C.</t>
        </is>
      </c>
    </row>
    <row r="1799">
      <c r="B1799" s="22" t="inlineStr">
        <is>
          <t>MF7806 - MUBARAK BIN MOHAMMED SCHOOL (CYCLE2)  - SOLE PROPRIETORSHIP L.L.C. - BRANCH</t>
        </is>
      </c>
    </row>
    <row r="1800">
      <c r="B1800" s="22" t="inlineStr">
        <is>
          <t>MF7812 - DISEASE PREVENTION AND SCREENING CENTER - TAWJEEH TOP PRESTIGE</t>
        </is>
      </c>
    </row>
    <row r="1801">
      <c r="B1801" s="22" t="inlineStr">
        <is>
          <t>MF7704 - RIVOLI EYE ZONE BRANCH OF EXCEL ENTERPRISES L L C - BRANCH OF ABU DHABI 15</t>
        </is>
      </c>
    </row>
    <row r="1802">
      <c r="B1802" s="22" t="inlineStr">
        <is>
          <t>MF7717 - EYE MAX OPTICAL - SOLE PROPRIETORSHIP L.L.C. - BRANCH1</t>
        </is>
      </c>
    </row>
    <row r="1803">
      <c r="B1803" s="22" t="inlineStr">
        <is>
          <t xml:space="preserve">MF7885 - HAMDAN BIN ZAYED School Clinic 1 (C2 AND 3) </t>
        </is>
      </c>
    </row>
    <row r="1804">
      <c r="B1804" s="22" t="inlineStr">
        <is>
          <t>MF7901 - AD - 217</t>
        </is>
      </c>
    </row>
    <row r="1805">
      <c r="B1805" s="22" t="inlineStr">
        <is>
          <t>MF7908 - Al Rahba Common School Clinic 2</t>
        </is>
      </c>
    </row>
    <row r="1806">
      <c r="B1806" s="22" t="inlineStr">
        <is>
          <t>MF2238 - Medica International Medical Center- LLC</t>
        </is>
      </c>
    </row>
    <row r="1807">
      <c r="B1807" s="22" t="inlineStr">
        <is>
          <t>MF7651 - AD - 168</t>
        </is>
      </c>
    </row>
    <row r="1808">
      <c r="B1808" s="22" t="inlineStr">
        <is>
          <t>MF7968 - ROOTS AYURVEDIC HEALTHCARE  - L.L.C</t>
        </is>
      </c>
    </row>
    <row r="1809">
      <c r="B1809" s="22" t="inlineStr">
        <is>
          <t>MF7969 - INSTITUTE FOR HEALTHIER LIVING  - ABU DHABI - SOLE PROPRIETORSHIP L.L.C.</t>
        </is>
      </c>
    </row>
    <row r="1810">
      <c r="B1810" s="22" t="inlineStr">
        <is>
          <t>MF7972 - AMERICAN CENTER FOR PSYCHIATRY &amp; NEUROLOGY  L.L.C. - BRANCH</t>
        </is>
      </c>
    </row>
    <row r="1811">
      <c r="B1811" s="22" t="inlineStr">
        <is>
          <t>MF7909 - Al Sedeirah Cycle2 Boys School Clinic</t>
        </is>
      </c>
    </row>
    <row r="1812">
      <c r="B1812" s="22" t="inlineStr">
        <is>
          <t>MF7998 - NSC FORTUNE / ADNOC AB01 CLINIC</t>
        </is>
      </c>
    </row>
    <row r="1813">
      <c r="B1813" s="22" t="inlineStr">
        <is>
          <t>MF8012 - AD-131 Clinic</t>
        </is>
      </c>
    </row>
    <row r="1814">
      <c r="B1814" s="22" t="inlineStr">
        <is>
          <t>MF8030 - OCEAN OILFIELD DRILLING - ABU DHABI</t>
        </is>
      </c>
    </row>
    <row r="1815">
      <c r="B1815" s="22" t="inlineStr">
        <is>
          <t>MF7848 - Ghaithi School Clinic</t>
        </is>
      </c>
    </row>
    <row r="1816">
      <c r="B1816" s="22" t="inlineStr">
        <is>
          <t>MF8034 - ALAMAL  OPTICALS  - SOLE PROPRIETORSHIP L.L.C.</t>
        </is>
      </c>
    </row>
    <row r="1817">
      <c r="B1817" s="22" t="inlineStr">
        <is>
          <t>MF7896 - EMIRATES PODIATRY CENTER-L.L.C-S.P.C.</t>
        </is>
      </c>
    </row>
    <row r="1818">
      <c r="B1818" s="22" t="inlineStr">
        <is>
          <t>MF8064 - WORLD WIDE MANAGEMENT OF MEDICAL FACILITIES - L.L.C - S.P.C</t>
        </is>
      </c>
    </row>
    <row r="1819">
      <c r="B1819" s="22" t="inlineStr">
        <is>
          <t>MF8080 - AD-241 Clinic</t>
        </is>
      </c>
    </row>
    <row r="1820">
      <c r="B1820" s="22" t="inlineStr">
        <is>
          <t>MF7772 - O2 HEALTH CARE MEDICAL GROUP - L.L.C -S.P.C</t>
        </is>
      </c>
    </row>
    <row r="1821">
      <c r="B1821" s="22" t="inlineStr">
        <is>
          <t>MF8144 - Sheikh Sultan bin Zayed Hospital</t>
        </is>
      </c>
    </row>
    <row r="1822">
      <c r="B1822" s="22" t="inlineStr">
        <is>
          <t>MF8136 - AL FATHAH HEALTH CARE SERVICES - L.L.C - S.P.C</t>
        </is>
      </c>
    </row>
    <row r="1823">
      <c r="B1823" s="22" t="inlineStr">
        <is>
          <t>MF7737 - WELLNESS ADVANCE MEDICAL CENTER - L.L.C - S.P.C</t>
        </is>
      </c>
    </row>
    <row r="1824">
      <c r="B1824" s="22" t="inlineStr">
        <is>
          <t>MF2135 - DR. AHMED ABU SHARIA MEDICAL CENTRE - SOLE PROPRIETORSHIP L.L.C.</t>
        </is>
      </c>
    </row>
    <row r="1825">
      <c r="B1825" s="22" t="inlineStr">
        <is>
          <t>MF8151 - AD-239 Clinic</t>
        </is>
      </c>
    </row>
    <row r="1826">
      <c r="B1826" s="22" t="inlineStr">
        <is>
          <t>MF8132 - RISE AND SHINE MEDICAL CENTRE   - L.L.C</t>
        </is>
      </c>
    </row>
    <row r="1827">
      <c r="B1827" s="22" t="inlineStr">
        <is>
          <t>MF8156 - AL KALMA WELLBEING CENTRE - L.L.C</t>
        </is>
      </c>
    </row>
    <row r="1828">
      <c r="B1828" s="22" t="inlineStr">
        <is>
          <t>MF8369 - FAKIH IVF FERTILITY CENTER LTD  - ABU DHABI</t>
        </is>
      </c>
    </row>
    <row r="1829">
      <c r="B1829" s="22" t="inlineStr">
        <is>
          <t>MF8224 - IN SHAPE MEDICAL CENTER - L.L.C</t>
        </is>
      </c>
    </row>
    <row r="1830">
      <c r="B1830" s="22" t="inlineStr">
        <is>
          <t>MF8287 - BEST WAYS MEDICAL SERVICES  - SOLE PROPRIETORSHIP L.L.C. - BRANCH</t>
        </is>
      </c>
    </row>
    <row r="1831">
      <c r="B1831" s="22" t="inlineStr">
        <is>
          <t>MF8379 - SKULPT SKIN CLINIC - L.L.C</t>
        </is>
      </c>
    </row>
    <row r="1832">
      <c r="B1832" s="22" t="inlineStr">
        <is>
          <t>MF8444 - BRIGHTPATH MEDICAL CLINIC - L.L.C - S.P.C</t>
        </is>
      </c>
    </row>
    <row r="1833">
      <c r="B1833" s="22" t="inlineStr">
        <is>
          <t>MF8060 - Reem Hospital LLC - Mobile Clinic</t>
        </is>
      </c>
    </row>
    <row r="1834">
      <c r="B1834" s="22" t="inlineStr">
        <is>
          <t>MF8500 - ALMUSTAQBAL CHINESE HOSPITAL  - L.L.C</t>
        </is>
      </c>
    </row>
    <row r="1835">
      <c r="B1835" s="22" t="inlineStr">
        <is>
          <t>MF8507 - Al Asayel School Clinic</t>
        </is>
      </c>
    </row>
    <row r="1836">
      <c r="B1836" s="22" t="inlineStr">
        <is>
          <t>MF2043 - WATHBA HEALTH CENTER</t>
        </is>
      </c>
    </row>
    <row r="1837">
      <c r="B1837" s="22" t="inlineStr">
        <is>
          <t>MF2472 - WELLNESS SPA FOR PHYSICAL THERAPY</t>
        </is>
      </c>
    </row>
    <row r="1838">
      <c r="B1838" s="22" t="inlineStr">
        <is>
          <t>MF2306 - WICKER AL MASAOOD GERMAN SPECIALIZED HOSPITALS</t>
        </is>
      </c>
    </row>
    <row r="1839">
      <c r="B1839" s="22" t="inlineStr">
        <is>
          <t>MF640 - THE BRITISH CLINIC</t>
        </is>
      </c>
    </row>
    <row r="1840">
      <c r="B1840" s="22" t="inlineStr">
        <is>
          <t>MF1844 - The Royal London Medical Center L.L.C.</t>
        </is>
      </c>
    </row>
    <row r="1841">
      <c r="B1841" s="22" t="inlineStr">
        <is>
          <t>MF1648 - SPECIALIZED MUSHAFAYAT MEDICAL EYE CLINC</t>
        </is>
      </c>
    </row>
    <row r="1842">
      <c r="B1842" s="22" t="inlineStr">
        <is>
          <t>MF2172 - SILVER MEDICAL CENTRE L.L.C</t>
        </is>
      </c>
    </row>
    <row r="1843">
      <c r="B1843" s="22" t="inlineStr">
        <is>
          <t>MF1767 - ROYAL SPECIALIZED DENTAL CLINIC - LLC - OPC</t>
        </is>
      </c>
    </row>
    <row r="1844">
      <c r="B1844" s="22" t="inlineStr">
        <is>
          <t>MF475 - PROVIDENCE INTERNATIONAL MEDICAL &amp; COSMETIC CENTER L.L.C.</t>
        </is>
      </c>
    </row>
    <row r="1845">
      <c r="B1845" s="22" t="inlineStr">
        <is>
          <t>MF2173 - ROSE MEDICAL CENTRE</t>
        </is>
      </c>
    </row>
    <row r="1846">
      <c r="B1846" s="22" t="inlineStr">
        <is>
          <t>MF1945 - PREMIUM CARE SURGERY CONSULTANTS CENTER</t>
        </is>
      </c>
    </row>
    <row r="1847">
      <c r="B1847" s="22" t="inlineStr">
        <is>
          <t>MF1033 - PRIVATE  DIAGNOSTIC CENTRE</t>
        </is>
      </c>
    </row>
    <row r="1848">
      <c r="B1848" s="22" t="inlineStr">
        <is>
          <t>MF1429 - PALMIRA SPECIALIZED MEDICAL CENTER - SOLE PROPRIETORSHIP L.L.C</t>
        </is>
      </c>
    </row>
    <row r="1849">
      <c r="B1849" s="22" t="inlineStr">
        <is>
          <t>MF411 - OPTIC VISION</t>
        </is>
      </c>
    </row>
    <row r="1850">
      <c r="B1850" s="22" t="inlineStr">
        <is>
          <t>MF2412 - N M C ROYAL HOSPITAL LTD</t>
        </is>
      </c>
    </row>
    <row r="1851">
      <c r="B1851" s="22" t="inlineStr">
        <is>
          <t>MF2389 - Neima Healthcare Center</t>
        </is>
      </c>
    </row>
    <row r="1852">
      <c r="B1852" s="22" t="inlineStr">
        <is>
          <t>MF390 - NEW AL AIN MEDICAL CLINICS CENTER - L.L.C</t>
        </is>
      </c>
    </row>
    <row r="1853">
      <c r="B1853" s="22" t="inlineStr">
        <is>
          <t>MF2030 - MUSSAFAH HEALTH CENTER</t>
        </is>
      </c>
    </row>
    <row r="1854">
      <c r="B1854" s="22" t="inlineStr">
        <is>
          <t>MF394 - N M C SPECIALTY HOSPITAL LTD</t>
        </is>
      </c>
    </row>
    <row r="1855">
      <c r="B1855" s="22" t="inlineStr">
        <is>
          <t>MF1901 - MAJESTIC MEDICAL CENTER- SOLE PROPRIETORSHIP L.L.C.</t>
        </is>
      </c>
    </row>
    <row r="1856">
      <c r="B1856" s="22" t="inlineStr">
        <is>
          <t>MF2503 - BURJEEL HOSPITAL LLC</t>
        </is>
      </c>
    </row>
    <row r="1857">
      <c r="B1857" s="22" t="inlineStr">
        <is>
          <t>MF2382 - Al Khaleej Healthcare Center</t>
        </is>
      </c>
    </row>
    <row r="1858">
      <c r="B1858" s="22" t="inlineStr">
        <is>
          <t>MF541 - KHALID KHADER CLINIC</t>
        </is>
      </c>
    </row>
    <row r="1859">
      <c r="B1859" s="22" t="inlineStr">
        <is>
          <t>MF2471 - KAIR FOR SKIN CARE .LLC</t>
        </is>
      </c>
    </row>
    <row r="1860">
      <c r="B1860" s="22" t="inlineStr">
        <is>
          <t>MF2446 - INTERNATIONAL SOS GULF - ABU DHABI</t>
        </is>
      </c>
    </row>
    <row r="1861">
      <c r="B1861" s="22" t="inlineStr">
        <is>
          <t>MF1879 - IBN AL NAFEES SPECIALIZED HOSPITAL</t>
        </is>
      </c>
    </row>
    <row r="1862">
      <c r="B1862" s="22" t="inlineStr">
        <is>
          <t>MF2445 - Health &amp; Beauty Polyclinic L.L.C</t>
        </is>
      </c>
    </row>
    <row r="1863">
      <c r="B1863" s="22" t="inlineStr">
        <is>
          <t>MF1300 - GENTLE DENTAL &amp; MEDICAL CARE CENTRE - L.L.C</t>
        </is>
      </c>
    </row>
    <row r="1864">
      <c r="B1864" s="22" t="inlineStr">
        <is>
          <t>MF605 - GOLDEN SANDS MEDICAL CENTRE L.L.C.</t>
        </is>
      </c>
    </row>
    <row r="1865">
      <c r="B1865" s="22" t="inlineStr">
        <is>
          <t>MF1367 - FALAJ HAZAA HOSPITAL</t>
        </is>
      </c>
    </row>
    <row r="1866">
      <c r="B1866" s="22" t="inlineStr">
        <is>
          <t>MF1772 - ETIHAD AIRWAYS POLYCLINIC</t>
        </is>
      </c>
    </row>
    <row r="1867">
      <c r="B1867" s="22" t="inlineStr">
        <is>
          <t>MF1481 - DR ROCCO SPECIALIZED DENTAL CENTER L.L.C - S.P.C</t>
        </is>
      </c>
    </row>
    <row r="1868">
      <c r="B1868" s="22" t="inlineStr">
        <is>
          <t>MF896 - DR. IMAD SHAHHAL CLINC</t>
        </is>
      </c>
    </row>
    <row r="1869">
      <c r="B1869" s="22" t="inlineStr">
        <is>
          <t>MF967 - DR. KAMAL ZAIBAK  DENTAL CLINIC</t>
        </is>
      </c>
    </row>
    <row r="1870">
      <c r="B1870" s="22" t="inlineStr">
        <is>
          <t>MF947 - DR. MOHI HADI AL KHAYYAT MEDICAL CLINIC</t>
        </is>
      </c>
    </row>
    <row r="1871">
      <c r="B1871" s="22" t="inlineStr">
        <is>
          <t>MF2128 - DOMANIAL PEDIATRIC POLYCLINICS</t>
        </is>
      </c>
    </row>
    <row r="1872">
      <c r="B1872" s="22" t="inlineStr">
        <is>
          <t>MF1915 - LUXURY HEALTHCARE MEDICAL CENTER -L.L.C</t>
        </is>
      </c>
    </row>
    <row r="1873">
      <c r="B1873" s="22" t="inlineStr">
        <is>
          <t>MF1312 - DAUWAR AL- SAA SPECIALIZED CLINIC</t>
        </is>
      </c>
    </row>
    <row r="1874">
      <c r="B1874" s="22" t="inlineStr">
        <is>
          <t>MF2046 - DELMA HOSPITAL</t>
        </is>
      </c>
    </row>
    <row r="1875">
      <c r="B1875" s="22" t="inlineStr">
        <is>
          <t>MF503 - DELMON OPTIC</t>
        </is>
      </c>
    </row>
    <row r="1876">
      <c r="B1876" s="22" t="inlineStr">
        <is>
          <t>MF1068 - COSMPOLITAN MEDICAL CENTRE - SOLE PROPRIETORSHIP L.L.C.</t>
        </is>
      </c>
    </row>
    <row r="1877">
      <c r="B1877" s="22" t="inlineStr">
        <is>
          <t>MF2334 - DABBAYIA CLINIC</t>
        </is>
      </c>
    </row>
    <row r="1878">
      <c r="B1878" s="22" t="inlineStr">
        <is>
          <t>MF667 - DANA OPTICAL CENTRE</t>
        </is>
      </c>
    </row>
    <row r="1879">
      <c r="B1879" s="22" t="inlineStr">
        <is>
          <t>MF1925 - COSMESURGE &amp; EMIRATES CLINICS FOR ONE DAY SURGERY L.L.C -BRANCH 2</t>
        </is>
      </c>
    </row>
    <row r="1880">
      <c r="B1880" s="22" t="inlineStr">
        <is>
          <t>MF1886 - CARE WELL MODERN MEDICAL CENTER L.L.C</t>
        </is>
      </c>
    </row>
    <row r="1881">
      <c r="B1881" s="22" t="inlineStr">
        <is>
          <t>MF179 - AUSTRIAN DENTAL CLINIC</t>
        </is>
      </c>
    </row>
    <row r="1882">
      <c r="B1882" s="22" t="inlineStr">
        <is>
          <t>MF1577 - AYMAN DENTAL CENTRE - L.L.C - S.P.C</t>
        </is>
      </c>
    </row>
    <row r="1883">
      <c r="B1883" s="22" t="inlineStr">
        <is>
          <t>MF164 - AMEERI MEDICAL CLINIC</t>
        </is>
      </c>
    </row>
    <row r="1884">
      <c r="B1884" s="22" t="inlineStr">
        <is>
          <t>MF2270 - MEDICLINIC HOSPITALS - L.L.C - S.P.C (AIRPORT ROAD HOSPITAL)</t>
        </is>
      </c>
    </row>
    <row r="1885">
      <c r="B1885" s="22" t="inlineStr">
        <is>
          <t>MF1987 - AL DAR CENTER-ALRAHA-MANAGED BY LIFELINE HOSPITAL LLC</t>
        </is>
      </c>
    </row>
    <row r="1886">
      <c r="B1886" s="22" t="inlineStr">
        <is>
          <t>MF2245 - ALHENDAWY SPECIALITY HOSPITAL</t>
        </is>
      </c>
    </row>
    <row r="1887">
      <c r="B1887" s="22" t="inlineStr">
        <is>
          <t>MF1699 - ALHUSSAM EYE MEDICINE CLINIC</t>
        </is>
      </c>
    </row>
    <row r="1888">
      <c r="B1888" s="22" t="inlineStr">
        <is>
          <t>MF666 - AL WAQAR MEDICAL CENTRE</t>
        </is>
      </c>
    </row>
    <row r="1889">
      <c r="B1889" s="22" t="inlineStr">
        <is>
          <t>MF950 - AL YAHAR MEDICAL CLINIC</t>
        </is>
      </c>
    </row>
    <row r="1890">
      <c r="B1890" s="22" t="inlineStr">
        <is>
          <t>MF2124 - AL SULTAN ADVANCED MEDICAL CLINICS</t>
        </is>
      </c>
    </row>
    <row r="1891">
      <c r="B1891" s="22" t="inlineStr">
        <is>
          <t>MF2085 - Al Masoudi Healthcare Center</t>
        </is>
      </c>
    </row>
    <row r="1892">
      <c r="B1892" s="22" t="inlineStr">
        <is>
          <t>MF1013 - AL MASSA MEDICAL CENTRE</t>
        </is>
      </c>
    </row>
    <row r="1893">
      <c r="B1893" s="22" t="inlineStr">
        <is>
          <t>MF753 - AL MANAMA MEDICAL CLINIC</t>
        </is>
      </c>
    </row>
    <row r="1894">
      <c r="B1894" s="22" t="inlineStr">
        <is>
          <t>MF93 - AL MAFRAQ MEDICAL CENTRE L.L.C</t>
        </is>
      </c>
    </row>
    <row r="1895">
      <c r="B1895" s="22" t="inlineStr">
        <is>
          <t>MF69 - AL JIMI MEDICAL POLYCLINICS L.L.C.</t>
        </is>
      </c>
    </row>
    <row r="1896">
      <c r="B1896" s="22" t="inlineStr">
        <is>
          <t>MF72 - AL HAYER PRIVATE CLINIC</t>
        </is>
      </c>
    </row>
    <row r="1897">
      <c r="B1897" s="22" t="inlineStr">
        <is>
          <t>MF74 - AL HIKMA MEDICAL CENTRE  L.L.C.</t>
        </is>
      </c>
    </row>
    <row r="1898">
      <c r="B1898" s="22" t="inlineStr">
        <is>
          <t>MF2087 - AL HILI HEALTHCARE CENTER</t>
        </is>
      </c>
    </row>
    <row r="1899">
      <c r="B1899" s="22" t="inlineStr">
        <is>
          <t>MF66 - AL FARDAN MEDICAL CLINIC</t>
        </is>
      </c>
    </row>
    <row r="1900">
      <c r="B1900" s="22" t="inlineStr">
        <is>
          <t>MF2258 - AL HADWANIYA HOSPITAL</t>
        </is>
      </c>
    </row>
    <row r="1901">
      <c r="B1901" s="22" t="inlineStr">
        <is>
          <t>MF2396 - AL EKHLAS MEDICAL CENTER</t>
        </is>
      </c>
    </row>
    <row r="1902">
      <c r="B1902" s="22" t="inlineStr">
        <is>
          <t>MF1167 - AL BASMAH  SPECIALIZED MEDICAL CLINIC</t>
        </is>
      </c>
    </row>
    <row r="1903">
      <c r="B1903" s="22" t="inlineStr">
        <is>
          <t>MF2997 - AL JABER ESTABLISHMENT CLINIC (AL AIN)</t>
        </is>
      </c>
    </row>
    <row r="1904">
      <c r="B1904" s="22" t="inlineStr">
        <is>
          <t>MF2607 - AL NOOR HOSPITAL DAY CASE SURGERY.</t>
        </is>
      </c>
    </row>
    <row r="1905">
      <c r="B1905" s="22" t="inlineStr">
        <is>
          <t>MF2580 - ADNOC TECHNICIAL INSTITUITE CLINIC-ATI</t>
        </is>
      </c>
    </row>
    <row r="1906">
      <c r="B1906" s="22" t="inlineStr">
        <is>
          <t>MF2571 - PREMIER MEDICAL CENTER</t>
        </is>
      </c>
    </row>
    <row r="1907">
      <c r="B1907" s="22" t="inlineStr">
        <is>
          <t>MF2582 - SHAH GENERAL CLINIC</t>
        </is>
      </c>
    </row>
    <row r="1908">
      <c r="B1908" s="22" t="inlineStr">
        <is>
          <t>MF2578 - SHEIKH KHALIFA ENERGY CLINIC-ADNOC</t>
        </is>
      </c>
    </row>
    <row r="1909">
      <c r="B1909" s="22" t="inlineStr">
        <is>
          <t>MF2993 - SMART HOSPITAL MANAGEMENT</t>
        </is>
      </c>
    </row>
    <row r="1910">
      <c r="B1910" s="22" t="inlineStr">
        <is>
          <t>MF3054 - Arab Euro Home Nursing Services LLC</t>
        </is>
      </c>
    </row>
    <row r="1911">
      <c r="B1911" s="22" t="inlineStr">
        <is>
          <t>MF3137 - EMIRATES CENTRAL SPECIALIST</t>
        </is>
      </c>
    </row>
    <row r="1912">
      <c r="B1912" s="22" t="inlineStr">
        <is>
          <t>MF3011 - HAPPY FACE DENTAL CLINIC</t>
        </is>
      </c>
    </row>
    <row r="1913">
      <c r="B1913" s="22" t="inlineStr">
        <is>
          <t>MF3030 - SSILKOR LASER HAIR REMOVAL LLC</t>
        </is>
      </c>
    </row>
    <row r="1914">
      <c r="B1914" s="22" t="inlineStr">
        <is>
          <t>MF3089 - YATEEM DENTAL CLINIC</t>
        </is>
      </c>
    </row>
    <row r="1915">
      <c r="B1915" s="22" t="inlineStr">
        <is>
          <t>MF1256 - SHAMA PHYSOTHERAPY CENTRE</t>
        </is>
      </c>
    </row>
    <row r="1916">
      <c r="B1916" s="22" t="inlineStr">
        <is>
          <t>MF2433 - DR.SUAD LUTFI SPECIALIST CLINIC LLC</t>
        </is>
      </c>
    </row>
    <row r="1917">
      <c r="B1917" s="22" t="inlineStr">
        <is>
          <t>MF3171 - BURJEEL AL HAYYAT RECRUITMENT SERVICES - SOLE PROPRIETORSHIP L.L.C</t>
        </is>
      </c>
    </row>
    <row r="1918">
      <c r="B1918" s="22" t="inlineStr">
        <is>
          <t>MF481 - THOMSON MEDICAL CLINIC</t>
        </is>
      </c>
    </row>
    <row r="1919">
      <c r="B1919" s="22" t="inlineStr">
        <is>
          <t>MF2091 - Oud Al Touba Diagnostic &amp; Screening Center</t>
        </is>
      </c>
    </row>
    <row r="1920">
      <c r="B1920" s="22" t="inlineStr">
        <is>
          <t>MF1186 - NOBLE  MEDICAL CENTRE</t>
        </is>
      </c>
    </row>
    <row r="1921">
      <c r="B1921" s="22" t="inlineStr">
        <is>
          <t>MF1437 - OAISS BRACES CENTRE LIMITED</t>
        </is>
      </c>
    </row>
    <row r="1922">
      <c r="B1922" s="22" t="inlineStr">
        <is>
          <t>MF2141 - MELLINIUM SPECIALIZED DENTAL CENTER</t>
        </is>
      </c>
    </row>
    <row r="1923">
      <c r="B1923" s="22" t="inlineStr">
        <is>
          <t>MF660 - MODERN CENTER - L.L.C - S.P.C</t>
        </is>
      </c>
    </row>
    <row r="1924">
      <c r="B1924" s="22" t="inlineStr">
        <is>
          <t>MF1918 - DR SHERIF MEDICAL CENTRE</t>
        </is>
      </c>
    </row>
    <row r="1925">
      <c r="B1925" s="22" t="inlineStr">
        <is>
          <t>MF2379 - AL NAYHAN PRIMARY HEALTH CARE CENTER</t>
        </is>
      </c>
    </row>
    <row r="1926">
      <c r="B1926" s="22" t="inlineStr">
        <is>
          <t>MF1847 - CLINICA SMILE DENTAL CENTER L.L.C.</t>
        </is>
      </c>
    </row>
    <row r="1927">
      <c r="B1927" s="22" t="inlineStr">
        <is>
          <t>MF1714 - AL JABER HOSPITAL</t>
        </is>
      </c>
    </row>
    <row r="1928">
      <c r="B1928" s="22" t="inlineStr">
        <is>
          <t>MF928 - BLOOM PLUS MEDICAL CENTER - L.L.C</t>
        </is>
      </c>
    </row>
    <row r="1929">
      <c r="B1929" s="22" t="inlineStr">
        <is>
          <t>MF1966 - AL - RAWASI DENTAL CLINIC</t>
        </is>
      </c>
    </row>
    <row r="1930">
      <c r="B1930" s="22" t="inlineStr">
        <is>
          <t>MF1910 - DURI MEDICAL CENTER - SOLE PROPRIETORSHIP L.L.C.</t>
        </is>
      </c>
    </row>
    <row r="1931">
      <c r="B1931" s="22" t="inlineStr">
        <is>
          <t>MF2982 - AL NASEEHA CLINIC</t>
        </is>
      </c>
    </row>
    <row r="1932">
      <c r="B1932" s="22" t="inlineStr">
        <is>
          <t>MF2587 - DR. NIDHAL ALATTIIA CLINIC LLC</t>
        </is>
      </c>
    </row>
    <row r="1933">
      <c r="B1933" s="22" t="inlineStr">
        <is>
          <t>MF2941 - Emirates Health Services</t>
        </is>
      </c>
    </row>
    <row r="1934">
      <c r="B1934" s="22" t="inlineStr">
        <is>
          <t>MF2609 - MEDICAL SERVICES SECTION/AL AIN</t>
        </is>
      </c>
    </row>
    <row r="1935">
      <c r="B1935" s="22" t="inlineStr">
        <is>
          <t>MF3012 - BEAUTY SMILE DENTAL LABORATORY -SOL PEOPRIETORSHIP LLC</t>
        </is>
      </c>
    </row>
    <row r="1936">
      <c r="B1936" s="22" t="inlineStr">
        <is>
          <t>MF3026 - CORPOFINO MEDICAL CENTER - L.L.C - S.P.C</t>
        </is>
      </c>
    </row>
    <row r="1937">
      <c r="B1937" s="22" t="inlineStr">
        <is>
          <t>MF3113 - COSMESURGE &amp; EMIRATES CLINICS FOR ONE DAY SURGERY L.L.C - BRANCH 1</t>
        </is>
      </c>
    </row>
    <row r="1938">
      <c r="B1938" s="22" t="inlineStr">
        <is>
          <t>MF3057 - GLOBAL MEDICAL CARE SYSTEM - LLC</t>
        </is>
      </c>
    </row>
    <row r="1939">
      <c r="B1939" s="22" t="inlineStr">
        <is>
          <t>MF3082 - HEALTH PLUS FAMILY HEALTH CENTER - LLC</t>
        </is>
      </c>
    </row>
    <row r="1940">
      <c r="B1940" s="22" t="inlineStr">
        <is>
          <t>MF3017 - KAYA SKIN CARE CLINIC- SOLE PROPRIETORSHIP L.L.C – BRANCH 3 ABUDHABI MALL.</t>
        </is>
      </c>
    </row>
    <row r="1941">
      <c r="B1941" s="22" t="inlineStr">
        <is>
          <t>MF3090 - Petrofac Emirates LLC Clinic  - Ruwais Project</t>
        </is>
      </c>
    </row>
    <row r="1942">
      <c r="B1942" s="22" t="inlineStr">
        <is>
          <t>MF3036 - TOWER CLINIC DENTAL CLINIC L L C</t>
        </is>
      </c>
    </row>
    <row r="1943">
      <c r="B1943" s="22" t="inlineStr">
        <is>
          <t>MF1517 - AL MUSA MEDICALCLINIC</t>
        </is>
      </c>
    </row>
    <row r="1944">
      <c r="B1944" s="22" t="inlineStr">
        <is>
          <t>MF3153 - BIN OMEIR MEDICAL GROUP L.L.C</t>
        </is>
      </c>
    </row>
    <row r="1945">
      <c r="B1945" s="22" t="inlineStr">
        <is>
          <t>MF3165 - CARE AND CURE HOME HEALTH CARE - SOLE PROPRIETORSHIP L.L.C.</t>
        </is>
      </c>
    </row>
    <row r="1946">
      <c r="B1946" s="22" t="inlineStr">
        <is>
          <t>MF3194 - FILIPINO MEDICAL POLYCLINIC</t>
        </is>
      </c>
    </row>
    <row r="1947">
      <c r="B1947" s="22" t="inlineStr">
        <is>
          <t>MF3195 - New Sheikh Khalifa Medical City</t>
        </is>
      </c>
    </row>
    <row r="1948">
      <c r="B1948" s="22" t="inlineStr">
        <is>
          <t>MF3212 - CRYSTAL MEDICAL POLYCLINIC</t>
        </is>
      </c>
    </row>
    <row r="1949">
      <c r="B1949" s="22" t="inlineStr">
        <is>
          <t>MF3222 - NATION HOSPITAL L.L.C</t>
        </is>
      </c>
    </row>
    <row r="1950">
      <c r="B1950" s="22" t="inlineStr">
        <is>
          <t>MF3224 - AL AHLI HOSPITAL COMPANY LLC - BRANCH 1</t>
        </is>
      </c>
    </row>
    <row r="1951">
      <c r="B1951" s="22" t="inlineStr">
        <is>
          <t>MF3238 - Spetar Home Health Care Center</t>
        </is>
      </c>
    </row>
    <row r="1952">
      <c r="B1952" s="22" t="inlineStr">
        <is>
          <t>MF3241 - SEHA DIALYSIS SERVICES – AL WAGAN HOSPITAL</t>
        </is>
      </c>
    </row>
    <row r="1953">
      <c r="B1953" s="22" t="inlineStr">
        <is>
          <t>MF3271 - TOPNOTCH POLYCLINIC - L.L.C - S.P.C</t>
        </is>
      </c>
    </row>
    <row r="1954">
      <c r="B1954" s="22" t="inlineStr">
        <is>
          <t>MF3281 - CLINIC DODSAL ENGG. CONST. LTD - HAMEEM BRANCH</t>
        </is>
      </c>
    </row>
    <row r="1955">
      <c r="B1955" s="22" t="inlineStr">
        <is>
          <t>MF3291 - Adria Medical Center L.L.C</t>
        </is>
      </c>
    </row>
    <row r="1956">
      <c r="B1956" s="22" t="inlineStr">
        <is>
          <t>MF3302 - Boston International Medical Center L.L.C</t>
        </is>
      </c>
    </row>
    <row r="1957">
      <c r="B1957" s="22" t="inlineStr">
        <is>
          <t>MF3308 - BERLIN MEDICAL &amp; NEUROLOGICAL REHABILITATION L.L.C.</t>
        </is>
      </c>
    </row>
    <row r="1958">
      <c r="B1958" s="22" t="inlineStr">
        <is>
          <t>MF2100 - REMAH HEALTHCARE CENTER</t>
        </is>
      </c>
    </row>
    <row r="1959">
      <c r="B1959" s="22" t="inlineStr">
        <is>
          <t>MF2355 - LAND MARK MEDICAL COMPLEX</t>
        </is>
      </c>
    </row>
    <row r="1960">
      <c r="B1960" s="22" t="inlineStr">
        <is>
          <t>MF2963 - MEDICAL CARE HEALTH SERVECES</t>
        </is>
      </c>
    </row>
    <row r="1961">
      <c r="B1961" s="22" t="inlineStr">
        <is>
          <t>MF3315 - The Verge Clinic Dental - L.L.C. - S.P.C.</t>
        </is>
      </c>
    </row>
    <row r="1962">
      <c r="B1962" s="22" t="inlineStr">
        <is>
          <t>MF3318 - CORE FOR CONSULTANCY&amp;HEALTH PLANNING L.L.C</t>
        </is>
      </c>
    </row>
    <row r="1963">
      <c r="B1963" s="22" t="inlineStr">
        <is>
          <t>MF1071 - WE CARE MEDICAL CENTRE - L.L.C</t>
        </is>
      </c>
    </row>
    <row r="1964">
      <c r="B1964" s="22" t="inlineStr">
        <is>
          <t>MF1934 - TAJ DENTAL CLINIC - L.L.C - S.P.C</t>
        </is>
      </c>
    </row>
    <row r="1965">
      <c r="B1965" s="22" t="inlineStr">
        <is>
          <t>MF2175 - WE CARE HOME HEALTH CENTER L.L.C.</t>
        </is>
      </c>
    </row>
    <row r="1966">
      <c r="B1966" s="22" t="inlineStr">
        <is>
          <t>MF2453 - HIGHER COLLEGES OF TECHNOLOGY CLINIC - ABU DHABI WOMENS COLLEGE</t>
        </is>
      </c>
    </row>
    <row r="1967">
      <c r="B1967" s="22" t="inlineStr">
        <is>
          <t>MF663 - EUROPEAN GERMAN  MEDICAL CENTER - L.L.C</t>
        </is>
      </c>
    </row>
    <row r="1968">
      <c r="B1968" s="22" t="inlineStr">
        <is>
          <t>MF97 - ALMAJAD MEDICAL CLINIC</t>
        </is>
      </c>
    </row>
    <row r="1969">
      <c r="B1969" s="22" t="inlineStr">
        <is>
          <t>MF122 - AL QUDWAH MEDICAL CENTRE L.L.C</t>
        </is>
      </c>
    </row>
    <row r="1970">
      <c r="B1970" s="22" t="inlineStr">
        <is>
          <t>MF1289 - AL NASEEB MEDICAL CENTER</t>
        </is>
      </c>
    </row>
    <row r="1971">
      <c r="B1971" s="22" t="inlineStr">
        <is>
          <t>MF1328 - MEDICLINIC HOSPITALS - MADINAT ZAYED CLINICS</t>
        </is>
      </c>
    </row>
    <row r="1972">
      <c r="B1972" s="22" t="inlineStr">
        <is>
          <t>MF1360 - AL- HANAN DENTAL CLINIC</t>
        </is>
      </c>
    </row>
    <row r="1973">
      <c r="B1973" s="22" t="inlineStr">
        <is>
          <t>MF659 - AL INSAAF MEDICAL CENTER - L.L.C - O.P.C</t>
        </is>
      </c>
    </row>
    <row r="1974">
      <c r="B1974" s="22" t="inlineStr">
        <is>
          <t>MF3094 - SAMA AL AIN MEDICAL CENTER.LLC</t>
        </is>
      </c>
    </row>
    <row r="1975">
      <c r="B1975" s="22" t="inlineStr">
        <is>
          <t>MF494 - TALAT MEDICAL CENTRE - SOLE PROPRIETORSHIP L.L.C.</t>
        </is>
      </c>
    </row>
    <row r="1976">
      <c r="B1976" s="22" t="inlineStr">
        <is>
          <t>MF1965 - Al Ruwais Medical Center</t>
        </is>
      </c>
    </row>
    <row r="1977">
      <c r="B1977" s="22" t="inlineStr">
        <is>
          <t>MF2517 - STOP POINT CLINIC - LLC</t>
        </is>
      </c>
    </row>
    <row r="1978">
      <c r="B1978" s="22" t="inlineStr">
        <is>
          <t>MF2434 - FRENCH CLINICS MEDICAL AND DENTAL L.L.C. - BRANCH</t>
        </is>
      </c>
    </row>
    <row r="1979">
      <c r="B1979" s="22" t="inlineStr">
        <is>
          <t>MF1763 - AL HANNA HOSPITAL</t>
        </is>
      </c>
    </row>
    <row r="1980">
      <c r="B1980" s="22" t="inlineStr">
        <is>
          <t>MF2516 - ALHASSAN DENTAL CENTER - L.L.C - O.P.C</t>
        </is>
      </c>
    </row>
    <row r="1981">
      <c r="B1981" s="22" t="inlineStr">
        <is>
          <t>MF2482 - PHOENIX HOSPITAL L.L.C.</t>
        </is>
      </c>
    </row>
    <row r="1982">
      <c r="B1982" s="22" t="inlineStr">
        <is>
          <t>MF2925 - REVITAL REHABILITATION HOSPITAL</t>
        </is>
      </c>
    </row>
    <row r="1983">
      <c r="B1983" s="22" t="inlineStr">
        <is>
          <t>MF2608 - AL AIN ROYAL HOSPITAL</t>
        </is>
      </c>
    </row>
    <row r="1984">
      <c r="B1984" s="22" t="inlineStr">
        <is>
          <t>MF2995 - THE MINUTE CLINIC LLC</t>
        </is>
      </c>
    </row>
    <row r="1985">
      <c r="B1985" s="22" t="inlineStr">
        <is>
          <t>MF3033 - EVERSMILE MEDICAL HOSPITAL</t>
        </is>
      </c>
    </row>
    <row r="1986">
      <c r="B1986" s="22" t="inlineStr">
        <is>
          <t>MF3010 - ZAYA REAL ESTATE DEVELOPMENT L.L.C CLINIC</t>
        </is>
      </c>
    </row>
    <row r="1987">
      <c r="B1987" s="22" t="inlineStr">
        <is>
          <t>MF2398 - AL SALAMA ONE DAY SURGERY CENTER L.L.C</t>
        </is>
      </c>
    </row>
    <row r="1988">
      <c r="B1988" s="22" t="inlineStr">
        <is>
          <t>MF3225 - DOCTOR OURIDA SKIN &amp;VENERIAL DESEASE CLINIC L.L.C.</t>
        </is>
      </c>
    </row>
    <row r="1989">
      <c r="B1989" s="22" t="inlineStr">
        <is>
          <t>MF202 - SPECIALIZED CHINESE MEDICAL CENTRE</t>
        </is>
      </c>
    </row>
    <row r="1990">
      <c r="B1990" s="22" t="inlineStr">
        <is>
          <t>MF3516 - CHOUFANI DENTAL POLYCLINIC L.L.C</t>
        </is>
      </c>
    </row>
    <row r="1991">
      <c r="B1991" s="22" t="inlineStr">
        <is>
          <t>MF3517 - HEALTH PLUS DIABETES AND ENDOCRINOLOGY L L C</t>
        </is>
      </c>
    </row>
    <row r="1992">
      <c r="B1992" s="22" t="inlineStr">
        <is>
          <t>MF3525 - BOSTON DENTAL CENTER L.L.C.</t>
        </is>
      </c>
    </row>
    <row r="1993">
      <c r="B1993" s="22" t="inlineStr">
        <is>
          <t xml:space="preserve">MF3969 - HEALTH AND LIFE HOSPITAL </t>
        </is>
      </c>
    </row>
    <row r="1994">
      <c r="B1994" s="22" t="inlineStr">
        <is>
          <t>MF3569 - STAR MEDICAL CENTRE - BRANCH 1</t>
        </is>
      </c>
    </row>
    <row r="1995">
      <c r="B1995" s="22" t="inlineStr">
        <is>
          <t>MF3692 - AL AIN CROMWELL MEDICAL CENTER</t>
        </is>
      </c>
    </row>
    <row r="1996">
      <c r="B1996" s="22" t="inlineStr">
        <is>
          <t>MF3571 - Alsseifiya Island Clinic</t>
        </is>
      </c>
    </row>
    <row r="1997">
      <c r="B1997" s="22" t="inlineStr">
        <is>
          <t>MF3561 - COSMEDICS SKIN &amp; LASER CLINIC</t>
        </is>
      </c>
    </row>
    <row r="1998">
      <c r="B1998" s="22" t="inlineStr">
        <is>
          <t>MF3562 - FRESENIUS MEDICAL CARE RENAL SREVICES (UAE) LTD - ABU DHABI</t>
        </is>
      </c>
    </row>
    <row r="1999">
      <c r="B1999" s="22" t="inlineStr">
        <is>
          <t>MF3594 - AL MADAEN HOSPITAL DIAGNOSIS</t>
        </is>
      </c>
    </row>
    <row r="2000">
      <c r="B2000" s="22" t="inlineStr">
        <is>
          <t>MF3566 - ELAJ FOR PROVIDING HEALTH CARE SERVICES L.L.C.</t>
        </is>
      </c>
    </row>
    <row r="2001">
      <c r="B2001" s="22" t="inlineStr">
        <is>
          <t>MF3087 - MEDICLINIC- AL MAMORA - L.L.C - O.P.C</t>
        </is>
      </c>
    </row>
    <row r="2002">
      <c r="B2002" s="22" t="inlineStr">
        <is>
          <t>MF3595 - CLEO CLINIC L.L.C.</t>
        </is>
      </c>
    </row>
    <row r="2003">
      <c r="B2003" s="22" t="inlineStr">
        <is>
          <t>MF2939 - AL BUSTAN WESTERN MEDICAL CENTER L.L.C - S.P.C</t>
        </is>
      </c>
    </row>
    <row r="2004">
      <c r="B2004" s="22" t="inlineStr">
        <is>
          <t>MF3607 - AL NAJAH TECHNOLOGY DENTAL LABOROTORY - SOLE PROPRIETORSHIP L.L.C.</t>
        </is>
      </c>
    </row>
    <row r="2005">
      <c r="B2005" s="22" t="inlineStr">
        <is>
          <t>MF3684 - ABU DHABI TELEMEDICINE CENTER - SOLE PROPRIETORSHIP L.L.C</t>
        </is>
      </c>
    </row>
    <row r="2006">
      <c r="B2006" s="22" t="inlineStr">
        <is>
          <t>MF2411 - DELMA MEDICAL CENTER - SOLE PROPRIETORSHIP L.L.C</t>
        </is>
      </c>
    </row>
    <row r="2007">
      <c r="B2007" s="22" t="inlineStr">
        <is>
          <t>MF3672 - HORIZON  CLININC</t>
        </is>
      </c>
    </row>
    <row r="2008">
      <c r="B2008" s="22" t="inlineStr">
        <is>
          <t>MF3713 - EMERITUS FIRST HOSPITAL LLC</t>
        </is>
      </c>
    </row>
    <row r="2009">
      <c r="B2009" s="22" t="inlineStr">
        <is>
          <t>MF3683 - K. K. T  INTER NATIONAL SPINE CENTER (U. A. E ) - BRANCH</t>
        </is>
      </c>
    </row>
    <row r="2010">
      <c r="B2010" s="22" t="inlineStr">
        <is>
          <t>MF3751 - FETAL MEDICINE AND GENETIC CENTER L.L.C.</t>
        </is>
      </c>
    </row>
    <row r="2011">
      <c r="B2011" s="22" t="inlineStr">
        <is>
          <t>MF3700 - CANADIAN CARE MEDICAL CENTER L.L.C</t>
        </is>
      </c>
    </row>
    <row r="2012">
      <c r="B2012" s="22" t="inlineStr">
        <is>
          <t xml:space="preserve">MF3681 - AL TOWAYYAH HOSPITAL </t>
        </is>
      </c>
    </row>
    <row r="2013">
      <c r="B2013" s="22" t="inlineStr">
        <is>
          <t>MF3720 - GOLDEN SMILE DENTAL CLINIC</t>
        </is>
      </c>
    </row>
    <row r="2014">
      <c r="B2014" s="22" t="inlineStr">
        <is>
          <t>MF3702 - JORDAN EMIRATES DIAGNOSTIC CENTRE ONE DAY SURGERY</t>
        </is>
      </c>
    </row>
    <row r="2015">
      <c r="B2015" s="22" t="inlineStr">
        <is>
          <t xml:space="preserve">MF3721 - BURJEEL MEDICAL CENTRE KIDS PARK - L.L.C </t>
        </is>
      </c>
    </row>
    <row r="2016">
      <c r="B2016" s="22" t="inlineStr">
        <is>
          <t>MF3693 - EASTMANS DENTAL CLINIC- SOLE PROPRIETORSHIP LLC</t>
        </is>
      </c>
    </row>
    <row r="2017">
      <c r="B2017" s="22" t="inlineStr">
        <is>
          <t>MF3722 - JUBILEE MEDICAL SERVICES</t>
        </is>
      </c>
    </row>
    <row r="2018">
      <c r="B2018" s="22" t="inlineStr">
        <is>
          <t>MF3853 - ALHANAN HOME HEALTH CARE CENTER</t>
        </is>
      </c>
    </row>
    <row r="2019">
      <c r="B2019" s="22" t="inlineStr">
        <is>
          <t>MF3801 - DR.SUAD LUTFI ONE DAY SURGERY CENTER</t>
        </is>
      </c>
    </row>
    <row r="2020">
      <c r="B2020" s="22" t="inlineStr">
        <is>
          <t>MF3981 - SAMAYA SPECIALIZED CENTER SSC LASER AND DAY CARE SURGERY L.L.C – KHALIFA A BRANCH</t>
        </is>
      </c>
    </row>
    <row r="2021">
      <c r="B2021" s="22" t="inlineStr">
        <is>
          <t>MF3851 - NOVAVITA SPECIALISED PAEDIATRIC HOSPITAL L.L.C.</t>
        </is>
      </c>
    </row>
    <row r="2022">
      <c r="B2022" s="22" t="inlineStr">
        <is>
          <t>MF3762 - TONIC MEDICAL CENTRE</t>
        </is>
      </c>
    </row>
    <row r="2023">
      <c r="B2023" s="22" t="inlineStr">
        <is>
          <t>MF3347 - RITAJ INTERNATIONAL RECRUITMENT SERVICES</t>
        </is>
      </c>
    </row>
    <row r="2024">
      <c r="B2024" s="22" t="inlineStr">
        <is>
          <t>MF3817 - TULIP HEALTH CARE CENTER  - SOLE PROPRIETORSHIP L.L.C.</t>
        </is>
      </c>
    </row>
    <row r="2025">
      <c r="B2025" s="22" t="inlineStr">
        <is>
          <t>MF3779 - EXPRESS GHAYATHI MEDICAL CENTRE - L.L.C - O.P.C</t>
        </is>
      </c>
    </row>
    <row r="2026">
      <c r="B2026" s="22" t="inlineStr">
        <is>
          <t>MF3815 - QPAL MEDICAL SOLUTIONS L.L.C.</t>
        </is>
      </c>
    </row>
    <row r="2027">
      <c r="B2027" s="22" t="inlineStr">
        <is>
          <t>MF3943 - AL RAHA HOSPITAL LLC - BRANCH 1</t>
        </is>
      </c>
    </row>
    <row r="2028">
      <c r="B2028" s="22" t="inlineStr">
        <is>
          <t>MF3902 - NEURAVIE REHABILITATION CENTER LLC</t>
        </is>
      </c>
    </row>
    <row r="2029">
      <c r="B2029" s="22" t="inlineStr">
        <is>
          <t>MF3844 - Al Amana Home Health Care L.L.C.</t>
        </is>
      </c>
    </row>
    <row r="2030">
      <c r="B2030" s="22" t="inlineStr">
        <is>
          <t>MF3880 - LUMINANCE HOSPITAL</t>
        </is>
      </c>
    </row>
    <row r="2031">
      <c r="B2031" s="22" t="inlineStr">
        <is>
          <t>MF3878 - AL NAJAH TECHNOLOGY DENTAL LABORATORY L.L.C. - BRANCH 1</t>
        </is>
      </c>
    </row>
    <row r="2032">
      <c r="B2032" s="22" t="inlineStr">
        <is>
          <t>MF3877 - EUPHORIA MEDICAL CENTRE LLC</t>
        </is>
      </c>
    </row>
    <row r="2033">
      <c r="B2033" s="22" t="inlineStr">
        <is>
          <t xml:space="preserve">MF3895 - THE NATIONAL CENTER FOR HOME CARE </t>
        </is>
      </c>
    </row>
    <row r="2034">
      <c r="B2034" s="22" t="inlineStr">
        <is>
          <t>MF4001 - BASCOM PALMER AUGUST MEDICAL EYE INSTITUTE L.L.C</t>
        </is>
      </c>
    </row>
    <row r="2035">
      <c r="B2035" s="22" t="inlineStr">
        <is>
          <t>MF3939 - Dubai Smile Dental Clinic L.L.C - Branch 1</t>
        </is>
      </c>
    </row>
    <row r="2036">
      <c r="B2036" s="22" t="inlineStr">
        <is>
          <t>MF3955 - AL MASHORA PHARMACEUTICAL CONSULTANCY L.L.C</t>
        </is>
      </c>
    </row>
    <row r="2037">
      <c r="B2037" s="22" t="inlineStr">
        <is>
          <t>MF3975 - GOLDEN BARADA MEDICAL CENTER</t>
        </is>
      </c>
    </row>
    <row r="2038">
      <c r="B2038" s="22" t="inlineStr">
        <is>
          <t>MF3982 - MOORFIELDS EYE HOSPITAL CENTRE L.L.C</t>
        </is>
      </c>
    </row>
    <row r="2039">
      <c r="B2039" s="22" t="inlineStr">
        <is>
          <t>MF3970 - YAS ORTHO DAY SURGERY AND  REHABILITATION CENTER BY PALMS SPORTS  L.L.C</t>
        </is>
      </c>
    </row>
    <row r="2040">
      <c r="B2040" s="22" t="inlineStr">
        <is>
          <t>MF3947 - AKIL CLINIC</t>
        </is>
      </c>
    </row>
    <row r="2041">
      <c r="B2041" s="22" t="inlineStr">
        <is>
          <t>MF4076 - WHITE LILY MEDICAL CENTRE - L.L.C</t>
        </is>
      </c>
    </row>
    <row r="2042">
      <c r="B2042" s="22" t="inlineStr">
        <is>
          <t>MF4107 - CLINICS - MEDICLINIC HOSPITALS L.L.C - BRANCH 9</t>
        </is>
      </c>
    </row>
    <row r="2043">
      <c r="B2043" s="22" t="inlineStr">
        <is>
          <t>MF4072 - ACCURATE MEDICAL SERVICES - ACCUMED L.L.C.</t>
        </is>
      </c>
    </row>
    <row r="2044">
      <c r="B2044" s="22" t="inlineStr">
        <is>
          <t>MF4126 - AL RAIAA HOME HEALTH CARE L.L.C.</t>
        </is>
      </c>
    </row>
    <row r="2045">
      <c r="B2045" s="22" t="inlineStr">
        <is>
          <t>MF4078 - PETROFAC EMIRATES L.L.C CLINIC UZ750 PROJECT WEST ISLAND - ZADCO</t>
        </is>
      </c>
    </row>
    <row r="2046">
      <c r="B2046" s="22" t="inlineStr">
        <is>
          <t>MF4102 - HEALTH &amp; LIFE MEDICAL CENTER - BRANCH 4</t>
        </is>
      </c>
    </row>
    <row r="2047">
      <c r="B2047" s="22" t="inlineStr">
        <is>
          <t>MF4178 - AL MARFA MEDICAL SERVICES - SOLE PROPRIETORSHIP L.L.C.</t>
        </is>
      </c>
    </row>
    <row r="2048">
      <c r="B2048" s="22" t="inlineStr">
        <is>
          <t>MF4145 - FAKIH MEDICAL CENTER L.L.C BRANCH 2</t>
        </is>
      </c>
    </row>
    <row r="2049">
      <c r="B2049" s="22" t="inlineStr">
        <is>
          <t>MF4164 - TUMREED Healthcare Services</t>
        </is>
      </c>
    </row>
    <row r="2050">
      <c r="B2050" s="22" t="inlineStr">
        <is>
          <t>MF4143 - ACCURA AESTHETIC FOR SKIN CARE CENTER L.L.C</t>
        </is>
      </c>
    </row>
    <row r="2051">
      <c r="B2051" s="22" t="inlineStr">
        <is>
          <t>MF4134 - ICON CLINIC PRIMARY HEALTH CARE CENTER- L.L.C</t>
        </is>
      </c>
    </row>
    <row r="2052">
      <c r="B2052" s="22" t="inlineStr">
        <is>
          <t>MF3825 - TABIBOOK HEALTH CARE SERVECES</t>
        </is>
      </c>
    </row>
    <row r="2053">
      <c r="B2053" s="22" t="inlineStr">
        <is>
          <t>MF4206 - AL HANAN DISABILTIES CENTER</t>
        </is>
      </c>
    </row>
    <row r="2054">
      <c r="B2054" s="22" t="inlineStr">
        <is>
          <t>MF4188 - UAE UNIVERSITY CLINICS - BRANCH 1</t>
        </is>
      </c>
    </row>
    <row r="2055">
      <c r="B2055" s="22" t="inlineStr">
        <is>
          <t>MF4223 - FACIAL ARTS MEDICAL CENTER L.L.C.</t>
        </is>
      </c>
    </row>
    <row r="2056">
      <c r="B2056" s="22" t="inlineStr">
        <is>
          <t>MF4321 - ELITE DENTAL MEDICAL CENTER L.L.C.</t>
        </is>
      </c>
    </row>
    <row r="2057">
      <c r="B2057" s="22" t="inlineStr">
        <is>
          <t>MF4250 - ASPETAR DENTAL AND MEDICAL CENTER</t>
        </is>
      </c>
    </row>
    <row r="2058">
      <c r="B2058" s="22" t="inlineStr">
        <is>
          <t>MF4570 - Bu Sikeen Island Clinic</t>
        </is>
      </c>
    </row>
    <row r="2059">
      <c r="B2059" s="22" t="inlineStr">
        <is>
          <t>MF4359 - BEST HOME CARE HEALTH CARE SERVICES CENTER L.C.C L.L.C.</t>
        </is>
      </c>
    </row>
    <row r="2060">
      <c r="B2060" s="22" t="inlineStr">
        <is>
          <t xml:space="preserve">MF4495 - SLAMTIK HOME MEDICAL CARE </t>
        </is>
      </c>
    </row>
    <row r="2061">
      <c r="B2061" s="22" t="inlineStr">
        <is>
          <t>MF4404 - SAFETY PIONEERS MEDICAL SERVICES CENTER L.L.C.</t>
        </is>
      </c>
    </row>
    <row r="2062">
      <c r="B2062" s="22" t="inlineStr">
        <is>
          <t>MF4355 - ALMAWADA HOME HEALTHCARE-SOLE PROPRIETORSHIP L.L.C.</t>
        </is>
      </c>
    </row>
    <row r="2063">
      <c r="B2063" s="22" t="inlineStr">
        <is>
          <t>MF3940 - KIDS FIRST MEDICAL CENTER L.L.C - BRANCH OF ABU DHABI</t>
        </is>
      </c>
    </row>
    <row r="2064">
      <c r="B2064" s="22" t="inlineStr">
        <is>
          <t>MF4419 - FINE CARE PLUS SPECIALIZED MEDICAL CENTRE L.L.C.</t>
        </is>
      </c>
    </row>
    <row r="2065">
      <c r="B2065" s="22" t="inlineStr">
        <is>
          <t>MF4350 - GULF DIAGNOSTIC CENTER HOSPITAL- W L L - BRANCH 2</t>
        </is>
      </c>
    </row>
    <row r="2066">
      <c r="B2066" s="22" t="inlineStr">
        <is>
          <t>MF4436 - BURJEEL MEDICAL CENTRE ALZEINA L.L.C.</t>
        </is>
      </c>
    </row>
    <row r="2067">
      <c r="B2067" s="22" t="inlineStr">
        <is>
          <t>MF4412 - WHITE PLUS DENTAL CLINIC</t>
        </is>
      </c>
    </row>
    <row r="2068">
      <c r="B2068" s="22" t="inlineStr">
        <is>
          <t>MF4433 - SAD MEDICAL SERVICES L.L.C.</t>
        </is>
      </c>
    </row>
    <row r="2069">
      <c r="B2069" s="22" t="inlineStr">
        <is>
          <t>MF4476 - NURSING HOME MEDICAL CARE CENTER</t>
        </is>
      </c>
    </row>
    <row r="2070">
      <c r="B2070" s="22" t="inlineStr">
        <is>
          <t>MF4434 - HEROLA HEALTH  TREATMENT UNDERTAKING SERVICES LLC</t>
        </is>
      </c>
    </row>
    <row r="2071">
      <c r="B2071" s="22" t="inlineStr">
        <is>
          <t>MF4530 - L L H OASIS MEDICAL CENTRE L.L.C.</t>
        </is>
      </c>
    </row>
    <row r="2072">
      <c r="B2072" s="22" t="inlineStr">
        <is>
          <t>MF4531 - SAMAYA SPECIALIZED CENTER-SSH-LASER AND DAY CARE SURGERY L.L.C – BRANCH 4</t>
        </is>
      </c>
    </row>
    <row r="2073">
      <c r="B2073" s="22" t="inlineStr">
        <is>
          <t>MF4583 - NEW MEDICAL CENTRE L.L.C - BRANCH OF ABU DHABI 4</t>
        </is>
      </c>
    </row>
    <row r="2074">
      <c r="B2074" s="22" t="inlineStr">
        <is>
          <t>MF4548 - PRAXIS HEALTH SERVICES</t>
        </is>
      </c>
    </row>
    <row r="2075">
      <c r="B2075" s="22" t="inlineStr">
        <is>
          <t>MF4574 - HIGH QUALITY HEALTH TREATMENT UNDERTAKINGS SERVICES</t>
        </is>
      </c>
    </row>
    <row r="2076">
      <c r="B2076" s="22" t="inlineStr">
        <is>
          <t>MF4573 - VISION CARE HEALTH TREATMENT UNDERTAKINGS SERVICES L.L.C.</t>
        </is>
      </c>
    </row>
    <row r="2077">
      <c r="B2077" s="22" t="inlineStr">
        <is>
          <t>MF4587 - HEALTH MAP HOME HEALTH CARE CENTER</t>
        </is>
      </c>
    </row>
    <row r="2078">
      <c r="B2078" s="22" t="inlineStr">
        <is>
          <t xml:space="preserve">MF4627 - HEALTH SKY MEDICAL CENTRE </t>
        </is>
      </c>
    </row>
    <row r="2079">
      <c r="B2079" s="22" t="inlineStr">
        <is>
          <t>MF4622 - TAJMEEL DENTAL CENTER L.L.C. - BRANCH 8</t>
        </is>
      </c>
    </row>
    <row r="2080">
      <c r="B2080" s="22" t="inlineStr">
        <is>
          <t>MF4601 - AL WARDA AL BAIDA HOME HEALTH CARE L.L.C</t>
        </is>
      </c>
    </row>
    <row r="2081">
      <c r="B2081" s="22" t="inlineStr">
        <is>
          <t>MF4642 - BARADA MEDICAL CENTER - L.L.C - S.P.C</t>
        </is>
      </c>
    </row>
    <row r="2082">
      <c r="B2082" s="22" t="inlineStr">
        <is>
          <t>MF4659 - YOUFFY HEALTH SERVICES L.L.C.</t>
        </is>
      </c>
    </row>
    <row r="2083">
      <c r="B2083" s="22" t="inlineStr">
        <is>
          <t>MF4664 - POLY CLINIC SWAT MEDICAL - L.L.C - O.P.C</t>
        </is>
      </c>
    </row>
    <row r="2084">
      <c r="B2084" s="22" t="inlineStr">
        <is>
          <t>MF3577 - ELYZEE HOSPITAL. L.L.C</t>
        </is>
      </c>
    </row>
    <row r="2085">
      <c r="B2085" s="22" t="inlineStr">
        <is>
          <t>MF4711 - ALCADY MEDICAL CENTER L.L.C</t>
        </is>
      </c>
    </row>
    <row r="2086">
      <c r="B2086" s="22" t="inlineStr">
        <is>
          <t>MF4704 - HEALTH &amp; LIFE MEDICAL CENTER - BRANCH 12</t>
        </is>
      </c>
    </row>
    <row r="2087">
      <c r="B2087" s="22" t="inlineStr">
        <is>
          <t>MF4760 - STAR AL AHALIA HOSPITAL</t>
        </is>
      </c>
    </row>
    <row r="2088">
      <c r="B2088" s="22" t="inlineStr">
        <is>
          <t>MF4759 - AL KHAIR HOSPITAL L.L.C</t>
        </is>
      </c>
    </row>
    <row r="2089">
      <c r="B2089" s="22" t="inlineStr">
        <is>
          <t>MF4749 - AL TAIE CENTER FOR LAPAROSCOPIC AND OBESITY SURGERY - BRANCH OF ABU DHABI 1</t>
        </is>
      </c>
    </row>
    <row r="2090">
      <c r="B2090" s="22" t="inlineStr">
        <is>
          <t>MF4754 - CELESTE MEDICAL CENTER</t>
        </is>
      </c>
    </row>
    <row r="2091">
      <c r="B2091" s="22" t="inlineStr">
        <is>
          <t>MF4735 - AL AIN INTERNATIONAL EMPLOYEES PROVISION SERVICES</t>
        </is>
      </c>
    </row>
    <row r="2092">
      <c r="B2092" s="22" t="inlineStr">
        <is>
          <t>MF4811 - RETAJ DENTAL CLINIC - BRANCH 1</t>
        </is>
      </c>
    </row>
    <row r="2093">
      <c r="B2093" s="22" t="inlineStr">
        <is>
          <t>MF4797 - AIM MEDICAL CENTRE OWNED BY NAEEMA AHMAD ALZAROUNI - ONE MAN COMPANY L L C</t>
        </is>
      </c>
    </row>
    <row r="2094">
      <c r="B2094" s="22" t="inlineStr">
        <is>
          <t>MF4603 - ALMADAR HOME CARE - SOLE PROPRIETORSHIP L.L.C</t>
        </is>
      </c>
    </row>
    <row r="2095">
      <c r="B2095" s="22" t="inlineStr">
        <is>
          <t>MF4790 - ROYA DENTAL LAB</t>
        </is>
      </c>
    </row>
    <row r="2096">
      <c r="B2096" s="22" t="inlineStr">
        <is>
          <t>MF4805 - DREAM SMILE DENTAL CLINIC</t>
        </is>
      </c>
    </row>
    <row r="2097">
      <c r="B2097" s="22" t="inlineStr">
        <is>
          <t>MF4799 - ROYAL SERVICE  HOME HEALTH MEDICAL CARE</t>
        </is>
      </c>
    </row>
    <row r="2098">
      <c r="B2098" s="22" t="inlineStr">
        <is>
          <t>MF4849 - INGALTRA HOME HEALTH CARE CENTER SOLE PROPRIETORSHIP L L C</t>
        </is>
      </c>
    </row>
    <row r="2099">
      <c r="B2099" s="22" t="inlineStr">
        <is>
          <t>MF4839 - EXOTICA CARE MEDICAL CENTER</t>
        </is>
      </c>
    </row>
    <row r="2100">
      <c r="B2100" s="22" t="inlineStr">
        <is>
          <t>MF4898 - EXCLUSIVE HEALTH FACILITY MANAGEMENT</t>
        </is>
      </c>
    </row>
    <row r="2101">
      <c r="B2101" s="22" t="inlineStr">
        <is>
          <t>MF4936 - PERFECT CARE MEDICAL CENTER L.L.C</t>
        </is>
      </c>
    </row>
    <row r="2102">
      <c r="B2102" s="22" t="inlineStr">
        <is>
          <t>MF4974 - PRIME CARE MEDICAL CENTRE L.L.C-BRANCH 1</t>
        </is>
      </c>
    </row>
    <row r="2103">
      <c r="B2103" s="22" t="inlineStr">
        <is>
          <t>MF5006 - ELEGA HEALTH CENTER</t>
        </is>
      </c>
    </row>
    <row r="2104">
      <c r="B2104" s="22" t="inlineStr">
        <is>
          <t>MF4996 - ALPHA MED MEDICAL SERVICES L.L.C</t>
        </is>
      </c>
    </row>
    <row r="2105">
      <c r="B2105" s="22" t="inlineStr">
        <is>
          <t xml:space="preserve">MF4581 - BURJEEL ROYAL HOSPITAL ASHAREJ - L.L.C </t>
        </is>
      </c>
    </row>
    <row r="2106">
      <c r="B2106" s="22" t="inlineStr">
        <is>
          <t xml:space="preserve">MF5008 - CLASSIC CARE MEDICAL CENTER - BRANCH 1 </t>
        </is>
      </c>
    </row>
    <row r="2107">
      <c r="B2107" s="22" t="inlineStr">
        <is>
          <t>MF5079 - MANHATTAN MEDICAL CENTRE</t>
        </is>
      </c>
    </row>
    <row r="2108">
      <c r="B2108" s="22" t="inlineStr">
        <is>
          <t>MF5118 - AL WAFI MEDICAL CENTER</t>
        </is>
      </c>
    </row>
    <row r="2109">
      <c r="B2109" s="22" t="inlineStr">
        <is>
          <t>MF5093 - MASADER</t>
        </is>
      </c>
    </row>
    <row r="2110">
      <c r="B2110" s="22" t="inlineStr">
        <is>
          <t>MF5148 - ZAKUM CENTRAL SUPER COMPLEX CLINIC</t>
        </is>
      </c>
    </row>
    <row r="2111">
      <c r="B2111" s="22" t="inlineStr">
        <is>
          <t>MF5123 - CENTRAL BUREAU RECRUITMENT SERVICES</t>
        </is>
      </c>
    </row>
    <row r="2112">
      <c r="B2112" s="22" t="inlineStr">
        <is>
          <t xml:space="preserve">MF5195 - ALSAMAA SPECIALIZED MEDICAL CENTER </t>
        </is>
      </c>
    </row>
    <row r="2113">
      <c r="B2113" s="22" t="inlineStr">
        <is>
          <t>MF5159 - AL HIKMA MEDICAL CENTRE L.L.C - BRANCH 2</t>
        </is>
      </c>
    </row>
    <row r="2114">
      <c r="B2114" s="22" t="inlineStr">
        <is>
          <t>MF5161 - LUMIERE SKIN CLINIC L.L.C. – BRANCH MAKANI MALL</t>
        </is>
      </c>
    </row>
    <row r="2115">
      <c r="B2115" s="22" t="inlineStr">
        <is>
          <t>MF4840 - MISSION MEDICAL CENTER - L.L.C</t>
        </is>
      </c>
    </row>
    <row r="2116">
      <c r="B2116" s="22" t="inlineStr">
        <is>
          <t xml:space="preserve">MF5173 - ALWAHDA CLUB MEDICAL CENTER </t>
        </is>
      </c>
    </row>
    <row r="2117">
      <c r="B2117" s="22" t="inlineStr">
        <is>
          <t>MF5190 - ALYACOUT MEDICAL CENTER OWEND BY IBRAHIM ABDULNOOR ALZAROONI - SOLE PROPRIETORSHIP L.L.C</t>
        </is>
      </c>
    </row>
    <row r="2118">
      <c r="B2118" s="22" t="inlineStr">
        <is>
          <t>MF5189 - ALSHIHAB MEDICAL CLINIC OWEND BY IBRAHIM ABDULNOOR ALZAROON. - SOLE PROPRIETORSHIP L.L.C.</t>
        </is>
      </c>
    </row>
    <row r="2119">
      <c r="B2119" s="22" t="inlineStr">
        <is>
          <t>MF5191 - BEUTY STYLE MEDICAL CENTRE</t>
        </is>
      </c>
    </row>
    <row r="2120">
      <c r="B2120" s="22" t="inlineStr">
        <is>
          <t>MF5216 - STAR AHALIA ONE DAY SURGERY MEDICAL CENTER.</t>
        </is>
      </c>
    </row>
    <row r="2121">
      <c r="B2121" s="22" t="inlineStr">
        <is>
          <t>MF4463 - BURJEEL MEDICAL CENTRE BARARI L.L.C.</t>
        </is>
      </c>
    </row>
    <row r="2122">
      <c r="B2122" s="22" t="inlineStr">
        <is>
          <t>MF5210 - ELITE MEDICAL CENTER</t>
        </is>
      </c>
    </row>
    <row r="2123">
      <c r="B2123" s="22" t="inlineStr">
        <is>
          <t>MF5280 - Tarmeem Orthopedic and Spine Specialty Hospital - LLC - S.P.C</t>
        </is>
      </c>
    </row>
    <row r="2124">
      <c r="B2124" s="22" t="inlineStr">
        <is>
          <t>MF5277 - CANADIAN MEDICAL CENTER SOLE PROPRIETORSHIP L.L.C - BRANCH 2</t>
        </is>
      </c>
    </row>
    <row r="2125">
      <c r="B2125" s="22" t="inlineStr">
        <is>
          <t>MF5299 - ELITE STYLE PHYSIOLOGY TREATMENT CENTRE L.L.C</t>
        </is>
      </c>
    </row>
    <row r="2126">
      <c r="B2126" s="22" t="inlineStr">
        <is>
          <t>MF5325 - ABU DHABI POLICE SCHOOLS MEDICAL CENTER</t>
        </is>
      </c>
    </row>
    <row r="2127">
      <c r="B2127" s="22" t="inlineStr">
        <is>
          <t>MF5314 - FINE CARE SPECIALIZED MEDICAL CENTRE - BRANCH 1</t>
        </is>
      </c>
    </row>
    <row r="2128">
      <c r="B2128" s="22" t="inlineStr">
        <is>
          <t>MF5224 - LAMASAT MEDICAL POLYCLINIC L.L.C.</t>
        </is>
      </c>
    </row>
    <row r="2129">
      <c r="B2129" s="22" t="inlineStr">
        <is>
          <t>MF4286 - N M C ROYAL MEDICAL CENTRE LTD</t>
        </is>
      </c>
    </row>
    <row r="2130">
      <c r="B2130" s="22" t="inlineStr">
        <is>
          <t>MF5340 - HAPPINESS SMILE DENTAL MOBILE CLINIC</t>
        </is>
      </c>
    </row>
    <row r="2131">
      <c r="B2131" s="22" t="inlineStr">
        <is>
          <t>MF5329 - VENTURA MEDICAL COMPLEX L.L.C.</t>
        </is>
      </c>
    </row>
    <row r="2132">
      <c r="B2132" s="22" t="inlineStr">
        <is>
          <t>MF5384 - WONDERFUL MINDS FOR REHABILITATION AND TRAINING L.L.C.</t>
        </is>
      </c>
    </row>
    <row r="2133">
      <c r="B2133" s="22" t="inlineStr">
        <is>
          <t>MF5387 - LIFE FERTILITY AND GENTIC CENTER- SOLE PROPRIETORSHIP L.L.C</t>
        </is>
      </c>
    </row>
    <row r="2134">
      <c r="B2134" s="22" t="inlineStr">
        <is>
          <t>MF5393 - SAMA ALMOSTAKBAL MEDICAL COMPLEX</t>
        </is>
      </c>
    </row>
    <row r="2135">
      <c r="B2135" s="22" t="inlineStr">
        <is>
          <t>MF5395 - ELDERLY HOME HEALTH CARE</t>
        </is>
      </c>
    </row>
    <row r="2136">
      <c r="B2136" s="22" t="inlineStr">
        <is>
          <t>MF5394 - MEDICINA GROUP FACILITIES MANAGEMENT</t>
        </is>
      </c>
    </row>
    <row r="2137">
      <c r="B2137" s="22" t="inlineStr">
        <is>
          <t>MF1510 - HAKEEM DENTAL CENTER L.L.C.</t>
        </is>
      </c>
    </row>
    <row r="2138">
      <c r="B2138" s="22" t="inlineStr">
        <is>
          <t>MF5415 - TREATLINK MOBILE MEDICAL CLINIC</t>
        </is>
      </c>
    </row>
    <row r="2139">
      <c r="B2139" s="22" t="inlineStr">
        <is>
          <t>MF5450 - D F W MEDICAL CENTER L.L.C. - BRANCH 1</t>
        </is>
      </c>
    </row>
    <row r="2140">
      <c r="B2140" s="22" t="inlineStr">
        <is>
          <t>MF5455 - AUCKLAND MEDICAL CENTER - SOLE PROPRIETORSHIP L.L.C</t>
        </is>
      </c>
    </row>
    <row r="2141">
      <c r="B2141" s="22" t="inlineStr">
        <is>
          <t>MF5465 - ALBADIA REHABILITATION CENTER-SOLE PROPRIETORSHIP L.L.C</t>
        </is>
      </c>
    </row>
    <row r="2142">
      <c r="B2142" s="22" t="inlineStr">
        <is>
          <t>MF5457 - PALERMO DENTAL CENTRE - L.L.C - O.P.C</t>
        </is>
      </c>
    </row>
    <row r="2143">
      <c r="B2143" s="22" t="inlineStr">
        <is>
          <t>MF5557 - MCI MEDICAL CLINIC - SOLE PROPRIETORSHIP L.L.C</t>
        </is>
      </c>
    </row>
    <row r="2144">
      <c r="B2144" s="22" t="inlineStr">
        <is>
          <t>MF5485 - SHALIA MEDICAL CENTRE</t>
        </is>
      </c>
    </row>
    <row r="2145">
      <c r="B2145" s="22" t="inlineStr">
        <is>
          <t>MF5499 - SHADI INTERNATIONAL DENTAL &amp; ORTHODONTIC CENTER L.L.C. - BRANCH 2</t>
        </is>
      </c>
    </row>
    <row r="2146">
      <c r="B2146" s="22" t="inlineStr">
        <is>
          <t xml:space="preserve">MF5571 - HOME NURSING HOME CARE </t>
        </is>
      </c>
    </row>
    <row r="2147">
      <c r="B2147" s="22" t="inlineStr">
        <is>
          <t>MF5564 - SHADI INTERNATIONAL DENTAL &amp; ORTHODONTIC CENTER L.L.C.-BRANCH 4</t>
        </is>
      </c>
    </row>
    <row r="2148">
      <c r="B2148" s="22" t="inlineStr">
        <is>
          <t>MF5525 - LIFECARE MEDICAL CENTER L.L.C</t>
        </is>
      </c>
    </row>
    <row r="2149">
      <c r="B2149" s="22" t="inlineStr">
        <is>
          <t>MF3335 - NMC ROYAL FAMILY MEDICAL CENTRE LTD</t>
        </is>
      </c>
    </row>
    <row r="2150">
      <c r="B2150" s="22" t="inlineStr">
        <is>
          <t>MF5528 - GOODWAY MEDICAL SERVICES - L.L.C</t>
        </is>
      </c>
    </row>
    <row r="2151">
      <c r="B2151" s="22" t="inlineStr">
        <is>
          <t>MF5616 - EXCELLENCE MEDICAL CENTRE FOR HAERING AND BALANCE</t>
        </is>
      </c>
    </row>
    <row r="2152">
      <c r="B2152" s="22" t="inlineStr">
        <is>
          <t>MF5574 - STAR KEY HEARING REHABILITATION CENTER L.L.C.</t>
        </is>
      </c>
    </row>
    <row r="2153">
      <c r="B2153" s="22" t="inlineStr">
        <is>
          <t>MF5549 - C S S RECRUITMENT</t>
        </is>
      </c>
    </row>
    <row r="2154">
      <c r="B2154" s="22" t="inlineStr">
        <is>
          <t>MF5567 - ULTIMATE HUMAN RESOURCE SOLUTIONS. L.L.C - BRANCH OF ABU DHABI 1</t>
        </is>
      </c>
    </row>
    <row r="2155">
      <c r="B2155" s="22" t="inlineStr">
        <is>
          <t>MF4880 - SEHATY MEDICAL CENTER - SOLE PROPRIETORSHIP L.L.C.</t>
        </is>
      </c>
    </row>
    <row r="2156">
      <c r="B2156" s="22" t="inlineStr">
        <is>
          <t>MF579 - NAYL AL SHEFA MEDICAL CENTER</t>
        </is>
      </c>
    </row>
    <row r="2157">
      <c r="B2157" s="22" t="inlineStr">
        <is>
          <t>MF5414 - AL FARAH MEDICAL REHABILTATION CENTER - SOLE PROPRIETORSHIP L.L.C</t>
        </is>
      </c>
    </row>
    <row r="2158">
      <c r="B2158" s="22" t="inlineStr">
        <is>
          <t>MF5621 - ASPETAR DENTAL AND MEDICAL CENTER  - BRANCH</t>
        </is>
      </c>
    </row>
    <row r="2159">
      <c r="B2159" s="22" t="inlineStr">
        <is>
          <t>MF1161 - AL MIRAGE MEDICAL CENTER</t>
        </is>
      </c>
    </row>
    <row r="2160">
      <c r="B2160" s="22" t="inlineStr">
        <is>
          <t>MF5605 - DIGITAL DESIGN DENTAL LABORATORY - SOLE PROPRIETORSHIP L.L.C</t>
        </is>
      </c>
    </row>
    <row r="2161">
      <c r="B2161" s="22" t="inlineStr">
        <is>
          <t>MF5541 - LIFECARE CLINIC L.L.C</t>
        </is>
      </c>
    </row>
    <row r="2162">
      <c r="B2162" s="22" t="inlineStr">
        <is>
          <t>MF5667 - FIVE CONTINENTS TECHNICAL &amp; INDUSTRIAL SERVICES ESTABLISHMENT</t>
        </is>
      </c>
    </row>
    <row r="2163">
      <c r="B2163" s="22" t="inlineStr">
        <is>
          <t>MF5606 - AL BASMA HOME HEALTH CARE SERVICES  L.L.C.</t>
        </is>
      </c>
    </row>
    <row r="2164">
      <c r="B2164" s="22" t="inlineStr">
        <is>
          <t>MF5098 - EMIRATES HOSPITALS &amp; CLINICS L.L.C - BRANCH OF ABU DHABI 1</t>
        </is>
      </c>
    </row>
    <row r="2165">
      <c r="B2165" s="22" t="inlineStr">
        <is>
          <t>MF344 - HEALTHLINE PRIMARY HEALTH CARE</t>
        </is>
      </c>
    </row>
    <row r="2166">
      <c r="B2166" s="22" t="inlineStr">
        <is>
          <t>MF5728 - NOVOMED CENTERS L.L.C (BRANCH) -MASDAR FREE ZONE</t>
        </is>
      </c>
    </row>
    <row r="2167">
      <c r="B2167" s="22" t="inlineStr">
        <is>
          <t>MF5738 - ADVANCED CHIROPRACTIC CENTER - L.L.C</t>
        </is>
      </c>
    </row>
    <row r="2168">
      <c r="B2168" s="22" t="inlineStr">
        <is>
          <t>MF351 - HOLLYWOOD SMILE MEDICAL CENTER - L.L.C</t>
        </is>
      </c>
    </row>
    <row r="2169">
      <c r="B2169" s="22" t="inlineStr">
        <is>
          <t>MF5727 - PRIME CURE PEDIATRIC AND ORTHODONTICS CENTER</t>
        </is>
      </c>
    </row>
    <row r="2170">
      <c r="B2170" s="22" t="inlineStr">
        <is>
          <t>MF5737 - TERRACOTTA MANPOWER SERVICES - SOLE PROPRIETORSHIP L.L.C.</t>
        </is>
      </c>
    </row>
    <row r="2171">
      <c r="B2171" s="22" t="inlineStr">
        <is>
          <t>MF7000 - international community schools LLC-Branch 2 clinic</t>
        </is>
      </c>
    </row>
    <row r="2172">
      <c r="B2172" s="22" t="inlineStr">
        <is>
          <t>MF7064 - OWNAK HOME CARE - SOLE PROPRIETORSHIP L.L.C.</t>
        </is>
      </c>
    </row>
    <row r="2173">
      <c r="B2173" s="22" t="inlineStr">
        <is>
          <t>MF7074 - AL GHAD SCHOOL - SOLE PROPRIETORSHIP L.L.C.</t>
        </is>
      </c>
    </row>
    <row r="2174">
      <c r="B2174" s="22" t="inlineStr">
        <is>
          <t>MF7013 - SMILE LINK DENTAL LABORATORY L.L.C.</t>
        </is>
      </c>
    </row>
    <row r="2175">
      <c r="B2175" s="22" t="inlineStr">
        <is>
          <t>MF7517 - AL FORSAN KINDERGARTEN - SOLE PROPRIETORSHIP L.L.C.</t>
        </is>
      </c>
    </row>
    <row r="2176">
      <c r="B2176" s="22" t="inlineStr">
        <is>
          <t>MF7114 - S H S MANAGEMENT OF MEDICAL FACILITIES L.L.C.</t>
        </is>
      </c>
    </row>
    <row r="2177">
      <c r="B2177" s="22" t="inlineStr">
        <is>
          <t>MF7119 - Samaya Opticals LLC - Branch</t>
        </is>
      </c>
    </row>
    <row r="2178">
      <c r="B2178" s="22" t="inlineStr">
        <is>
          <t>MF7123 - AL BUDOOR KINDERGARTEN - SOLE PROPRIETORSHIP L.L.C.</t>
        </is>
      </c>
    </row>
    <row r="2179">
      <c r="B2179" s="22" t="inlineStr">
        <is>
          <t>MF7126 - SEHA KIDNEY CARE CENTER- LIWA HOSPITAL</t>
        </is>
      </c>
    </row>
    <row r="2180">
      <c r="B2180" s="22" t="inlineStr">
        <is>
          <t>MF7139 - RIVOLI EYE ZONE (BRANCH OF MAGRABI OPTICAL COMPANY (L.L.C) - BRANCH OF ABUDHABI - ABU DHABI MALL</t>
        </is>
      </c>
    </row>
    <row r="2181">
      <c r="B2181" s="22" t="inlineStr">
        <is>
          <t>MF7148 - NATIONAL TRANSPORT COMPANY L.L.C</t>
        </is>
      </c>
    </row>
    <row r="2182">
      <c r="B2182" s="22" t="inlineStr">
        <is>
          <t>MF7186 - APEX MEDICAL CENTRE - L.L.C - S.P.C</t>
        </is>
      </c>
    </row>
    <row r="2183">
      <c r="B2183" s="22" t="inlineStr">
        <is>
          <t>MF7213 - AL MAEARIF FOR CUPPING CENTER  - SOLE PROPRIETORSHIP L.L.C.</t>
        </is>
      </c>
    </row>
    <row r="2184">
      <c r="B2184" s="22" t="inlineStr">
        <is>
          <t>MF7221 - WELLBE CLINICS</t>
        </is>
      </c>
    </row>
    <row r="2185">
      <c r="B2185" s="22" t="inlineStr">
        <is>
          <t>MF7226 - ACTIVE HEALTH CARE MANAGEMENT SERVICE -SOLE PROPRIETORSHIP L.L.C</t>
        </is>
      </c>
    </row>
    <row r="2186">
      <c r="B2186" s="22" t="inlineStr">
        <is>
          <t>MF7238 - AL NOOF CLINIC</t>
        </is>
      </c>
    </row>
    <row r="2187">
      <c r="B2187" s="22" t="inlineStr">
        <is>
          <t>MF7244 - ALKORI PHYSIOTHERAPY CENTER</t>
        </is>
      </c>
    </row>
    <row r="2188">
      <c r="B2188" s="22" t="inlineStr">
        <is>
          <t>MF7265 - AL MUTANABI SCHOOL - SOLE PROPRIETORSHIP L.L.C.</t>
        </is>
      </c>
    </row>
    <row r="2189">
      <c r="B2189" s="22" t="inlineStr">
        <is>
          <t>MF7267 - INTERHEALTH MEDICAL SERVICES LLC</t>
        </is>
      </c>
    </row>
    <row r="2190">
      <c r="B2190" s="22" t="inlineStr">
        <is>
          <t>MF7274 - ACCURATE HEALTH CARE SERVICES L.L.C.</t>
        </is>
      </c>
    </row>
    <row r="2191">
      <c r="B2191" s="22" t="inlineStr">
        <is>
          <t>MF7297 - SAMSUNG ENGINEERING COMPANY LIMITED</t>
        </is>
      </c>
    </row>
    <row r="2192">
      <c r="B2192" s="22" t="inlineStr">
        <is>
          <t>MF7333 - Capital clinic</t>
        </is>
      </c>
    </row>
    <row r="2193">
      <c r="B2193" s="22" t="inlineStr">
        <is>
          <t>MF3192 - REAL HEALTH CENTER L.L.C.</t>
        </is>
      </c>
    </row>
    <row r="2194">
      <c r="B2194" s="22" t="inlineStr">
        <is>
          <t>MF7104 - LEVARD MEDICAL CENTER-BRANCH</t>
        </is>
      </c>
    </row>
    <row r="2195">
      <c r="B2195" s="22" t="inlineStr">
        <is>
          <t>MF4261 - AAMER HOME HEALTH CARE CENTER L.L.C</t>
        </is>
      </c>
    </row>
    <row r="2196">
      <c r="B2196" s="22" t="inlineStr">
        <is>
          <t>MF7349 - 360 dental and orthodontic center L.L.C</t>
        </is>
      </c>
    </row>
    <row r="2197">
      <c r="B2197" s="22" t="inlineStr">
        <is>
          <t>MF7355 - VITAMIN MEDICAL CENTER - SOLE PROPRIETORSHIP L.L.C</t>
        </is>
      </c>
    </row>
    <row r="2198">
      <c r="B2198" s="22" t="inlineStr">
        <is>
          <t>MF7361 - SUPER VISION OPTICAL L.L.C. - BRANCH1</t>
        </is>
      </c>
    </row>
    <row r="2199">
      <c r="B2199" s="22" t="inlineStr">
        <is>
          <t>MF1838 - AL HENDAWY MEDICAL CENTRE - L L C</t>
        </is>
      </c>
    </row>
    <row r="2200">
      <c r="B2200" s="22" t="inlineStr">
        <is>
          <t>MF7405 - INDUS DENTAL CENTER L.L.C.</t>
        </is>
      </c>
    </row>
    <row r="2201">
      <c r="B2201" s="22" t="inlineStr">
        <is>
          <t>MF764 - HARMONY ADVANCED MEDICAL CENTER L.L.C.</t>
        </is>
      </c>
    </row>
    <row r="2202">
      <c r="B2202" s="22" t="inlineStr">
        <is>
          <t>MF7413 - MAI SHEHADA ALTERNATIVE MEDICINE CENTER</t>
        </is>
      </c>
    </row>
    <row r="2203">
      <c r="B2203" s="22" t="inlineStr">
        <is>
          <t>MF7287 - SPRUCE SUNGLASSES TRADING L.L.C - BRANCH OF ABU DHABI 3</t>
        </is>
      </c>
    </row>
    <row r="2204">
      <c r="B2204" s="22" t="inlineStr">
        <is>
          <t>MF7434 - DOWN TOWN MEDICAL CENTER - L.L.C - S.P.C</t>
        </is>
      </c>
    </row>
    <row r="2205">
      <c r="B2205" s="22" t="inlineStr">
        <is>
          <t>MF7438 - LAB EXPERTS DIAGNOSTICS L.L.C.</t>
        </is>
      </c>
    </row>
    <row r="2206">
      <c r="B2206" s="22" t="inlineStr">
        <is>
          <t>MF7032 - BEAULINK PLUS MEDICAL CENTER - L.L.C - S.P.C</t>
        </is>
      </c>
    </row>
    <row r="2207">
      <c r="B2207" s="22" t="inlineStr">
        <is>
          <t>MF7472 - Dynamic Care Medical Center - Sole Proprietorship L.L.C.</t>
        </is>
      </c>
    </row>
    <row r="2208">
      <c r="B2208" s="22" t="inlineStr">
        <is>
          <t>MF2132 - ALBUSTAN MEDICAL CENTER - SOLE PROPRIETORSHIP L.L.C.</t>
        </is>
      </c>
    </row>
    <row r="2209">
      <c r="B2209" s="22" t="inlineStr">
        <is>
          <t xml:space="preserve">MF7483 - HAKEEM AL RAAZI MEDICAL CENTER LLC </t>
        </is>
      </c>
    </row>
    <row r="2210">
      <c r="B2210" s="22" t="inlineStr">
        <is>
          <t>MF7548 - ASTER OPTICALS LLC - BRANCH ABU DHABI  3</t>
        </is>
      </c>
    </row>
    <row r="2211">
      <c r="B2211" s="22" t="inlineStr">
        <is>
          <t>MF7553 - ALJABER OPTICAL CENTRE L L C - BRANCH OF ABU DHABI 32</t>
        </is>
      </c>
    </row>
    <row r="2212">
      <c r="B2212" s="22" t="inlineStr">
        <is>
          <t>MF166 - Albarazi Medical Center - Sole Proprietorship L.L.C</t>
        </is>
      </c>
    </row>
    <row r="2213">
      <c r="B2213" s="22" t="inlineStr">
        <is>
          <t>MF7576 - BIOCLINIC MEDICAL CENTER L.L.C</t>
        </is>
      </c>
    </row>
    <row r="2214">
      <c r="B2214" s="22" t="inlineStr">
        <is>
          <t>MF7422 - ENFIELD ROYAL MEDICAL CENTER LLC</t>
        </is>
      </c>
    </row>
    <row r="2215">
      <c r="B2215" s="22" t="inlineStr">
        <is>
          <t>MF7615 - MIDDLE EAST OPTICAL  L.L.C. -  BRANCH 1</t>
        </is>
      </c>
    </row>
    <row r="2216">
      <c r="B2216" s="22" t="inlineStr">
        <is>
          <t>MF4170 - SAMA TABRIZI DENTISTRY L.L.C.</t>
        </is>
      </c>
    </row>
    <row r="2217">
      <c r="B2217" s="22" t="inlineStr">
        <is>
          <t>MF7628 - INSTANT RESPONSE AMBULANCE SERVICES - SOLE PROPRIETORSHIP L.L.C.</t>
        </is>
      </c>
    </row>
    <row r="2218">
      <c r="B2218" s="22" t="inlineStr">
        <is>
          <t>MF7630 - LIFE OPTICAL LLC - BRANCH OF ABU DHABI 1</t>
        </is>
      </c>
    </row>
    <row r="2219">
      <c r="B2219" s="22" t="inlineStr">
        <is>
          <t xml:space="preserve">MF7475 - ALYAD REHABILITATION CENTER </t>
        </is>
      </c>
    </row>
    <row r="2220">
      <c r="B2220" s="22" t="inlineStr">
        <is>
          <t>MF7631 - PYRAMIDS TRAINING INSTITUTE L.L.C.</t>
        </is>
      </c>
    </row>
    <row r="2221">
      <c r="B2221" s="22" t="inlineStr">
        <is>
          <t xml:space="preserve">MF7642 - MILAN CLINIC MEDICAL CENTER - SOLE PROPRIETORSHIP L.L.C. - BRANCH
</t>
        </is>
      </c>
    </row>
    <row r="2222">
      <c r="B2222" s="22" t="inlineStr">
        <is>
          <t>MF7649 - AD - 166</t>
        </is>
      </c>
    </row>
    <row r="2223">
      <c r="B2223" s="22" t="inlineStr">
        <is>
          <t>MF7654 - AD - 180</t>
        </is>
      </c>
    </row>
    <row r="2224">
      <c r="B2224" s="22" t="inlineStr">
        <is>
          <t>MF7670 - HEALTH PARK CLINIC - SOLE PROPRIETORSHIP L.L.C.</t>
        </is>
      </c>
    </row>
    <row r="2225">
      <c r="B2225" s="22" t="inlineStr">
        <is>
          <t>MF7685 - The New England Center for Children, Inc. - Abu Dhabi</t>
        </is>
      </c>
    </row>
    <row r="2226">
      <c r="B2226" s="22" t="inlineStr">
        <is>
          <t>MF7700 - ADNOC Research &amp; Innovation Center (ADRIC) Clinic</t>
        </is>
      </c>
    </row>
    <row r="2227">
      <c r="B2227" s="22" t="inlineStr">
        <is>
          <t>MF7708 - MEDCART MEDICAL CENTRE - SOLE PROPRIETORSHIP L.L.C.</t>
        </is>
      </c>
    </row>
    <row r="2228">
      <c r="B2228" s="22" t="inlineStr">
        <is>
          <t>MF7711 - AL  JABER OPTICAL CENTER L L C 2 - BRANCH OF ABU DHABI 29</t>
        </is>
      </c>
    </row>
    <row r="2229">
      <c r="B2229" s="22" t="inlineStr">
        <is>
          <t>MF5641 - SHAMS ALWAHA MEDICAL CENTRE - SOLE PROPRIETORSHIP L.L.C</t>
        </is>
      </c>
    </row>
    <row r="2230">
      <c r="B2230" s="22" t="inlineStr">
        <is>
          <t>MF7728 - TARGET ENGINEERING CONSTRUCTION COMPANY - SOLE PROPRIETORSHIP L.L.C..</t>
        </is>
      </c>
    </row>
    <row r="2231">
      <c r="B2231" s="22" t="inlineStr">
        <is>
          <t>MF7765 - THAM ORALCARE - L.L.C - O.P.C</t>
        </is>
      </c>
    </row>
    <row r="2232">
      <c r="B2232" s="22" t="inlineStr">
        <is>
          <t>MF7680 - ALAMAL  OPTICALS  - SOLE PROPRIETORSHIP L.L.C. - BRANCH.1</t>
        </is>
      </c>
    </row>
    <row r="2233">
      <c r="B2233" s="22" t="inlineStr">
        <is>
          <t>MF7696 - Sheikh Tahnoon Bin Mohammed Medical City - Rehabilitation Hospital</t>
        </is>
      </c>
    </row>
    <row r="2234">
      <c r="B2234" s="22" t="inlineStr">
        <is>
          <t>MF2555 - AIN AL KHALEEJ HOSPITAL - L.L.C - S.P.C</t>
        </is>
      </c>
    </row>
    <row r="2235">
      <c r="B2235" s="22" t="inlineStr">
        <is>
          <t>MF7784 - CROWN MEDICAL MANAGEMENT - SOLE PROPRIETORSHIP L.L.C.</t>
        </is>
      </c>
    </row>
    <row r="2236">
      <c r="B2236" s="22" t="inlineStr">
        <is>
          <t>MF7627 - YILDIZ MEDICAL COMPLEX</t>
        </is>
      </c>
    </row>
    <row r="2237">
      <c r="B2237" s="22" t="inlineStr">
        <is>
          <t>MF7325 - ROYAL MEDICAL CENTER ONE DAY SURGERY L.L.C.</t>
        </is>
      </c>
    </row>
    <row r="2238">
      <c r="B2238" s="22" t="inlineStr">
        <is>
          <t>MF7805 - AHLAN OPTICALS LLC</t>
        </is>
      </c>
    </row>
    <row r="2239">
      <c r="B2239" s="22" t="inlineStr">
        <is>
          <t>MF7810 - CAPITAL MEDICAL CENTRE FOR HEALTH SCREENING - L.L.C - BRANCH-3</t>
        </is>
      </c>
    </row>
    <row r="2240">
      <c r="B2240" s="22" t="inlineStr">
        <is>
          <t>MF7832 - SPECTRA OPTICALS - L.L.C - O.P.C</t>
        </is>
      </c>
    </row>
    <row r="2241">
      <c r="B2241" s="22" t="inlineStr">
        <is>
          <t>MF7842 - UNITED SECURITY GROUP - SOLE PROPRIETORSHIP L.L.C.</t>
        </is>
      </c>
    </row>
    <row r="2242">
      <c r="B2242" s="22" t="inlineStr">
        <is>
          <t>MF7865 - AD-171</t>
        </is>
      </c>
    </row>
    <row r="2243">
      <c r="B2243" s="22" t="inlineStr">
        <is>
          <t>MF7867 - Al Mutanabi School Clinic – Sole Proprietorship L L C</t>
        </is>
      </c>
    </row>
    <row r="2244">
      <c r="B2244" s="22" t="inlineStr">
        <is>
          <t>MF7870 - THE SKIN LAB MEDICAL CENTER - L.L.C</t>
        </is>
      </c>
    </row>
    <row r="2245">
      <c r="B2245" s="22" t="inlineStr">
        <is>
          <t>MF7872 - PIXELS OPTICS  - L.L.C</t>
        </is>
      </c>
    </row>
    <row r="2246">
      <c r="B2246" s="22" t="inlineStr">
        <is>
          <t>MF7874 - THE BEST WAYS  MEDICAL CLINIC - L.L.C - O.P.C</t>
        </is>
      </c>
    </row>
    <row r="2247">
      <c r="B2247" s="22" t="inlineStr">
        <is>
          <t>MF7747 - ACCURA AESTHETIC FOR SKIN CARE CENTER - L.L.C - BRANCH</t>
        </is>
      </c>
    </row>
    <row r="2248">
      <c r="B2248" s="22" t="inlineStr">
        <is>
          <t>MF2351 - ZAYED MILITARY HOSPITAL</t>
        </is>
      </c>
    </row>
    <row r="2249">
      <c r="B2249" s="22" t="inlineStr">
        <is>
          <t>MF7902 - AD - 80</t>
        </is>
      </c>
    </row>
    <row r="2250">
      <c r="B2250" s="22" t="inlineStr">
        <is>
          <t xml:space="preserve">MF7910 - Ahmed Khalifa Al Suwaidi School C3 boys Clinic </t>
        </is>
      </c>
    </row>
    <row r="2251">
      <c r="B2251" s="22" t="inlineStr">
        <is>
          <t>MF7907 - Al Rahba Common School Clinic 1</t>
        </is>
      </c>
    </row>
    <row r="2252">
      <c r="B2252" s="22" t="inlineStr">
        <is>
          <t>MF3217 - TIME CURE MEDICAL CENTER - SOLE PROPRIETORSHIP L.L.C</t>
        </is>
      </c>
    </row>
    <row r="2253">
      <c r="B2253" s="22" t="inlineStr">
        <is>
          <t>MF7934 - SPRUCE SUNGLASSES TRADING L.L.C - BRANCH OF ABU DHABI Branch1</t>
        </is>
      </c>
    </row>
    <row r="2254">
      <c r="B2254" s="22" t="inlineStr">
        <is>
          <t>MF7936 - MAX VISION TRADING LLC - BRANCH OF ABU DHABI</t>
        </is>
      </c>
    </row>
    <row r="2255">
      <c r="B2255" s="22" t="inlineStr">
        <is>
          <t>MF7959 - AL BAYRAQ SCHOOL - SOLE PROPRIETORSHIP L.L.C.</t>
        </is>
      </c>
    </row>
    <row r="2256">
      <c r="B2256" s="22" t="inlineStr">
        <is>
          <t>MF8014 - AD-223 Clinic</t>
        </is>
      </c>
    </row>
    <row r="2257">
      <c r="B2257" s="22" t="inlineStr">
        <is>
          <t>MF7145 - ETERNAL GLOW MEDICAL CENTRE - L.L.C</t>
        </is>
      </c>
    </row>
    <row r="2258">
      <c r="B2258" s="22" t="inlineStr">
        <is>
          <t>MF232 - EMIRATES MEDICAL CENTER - SOLE PROPRIETORSHIP L.L.C.</t>
        </is>
      </c>
    </row>
    <row r="2259">
      <c r="B2259" s="22" t="inlineStr">
        <is>
          <t>MF1958 - AL AIN AL SALAM MEDICAL CENTER  - L.L.C</t>
        </is>
      </c>
    </row>
    <row r="2260">
      <c r="B2260" s="22" t="inlineStr">
        <is>
          <t>MF8052 - NATIONAL REHABILITATION CENTER_LIWA BRANCH</t>
        </is>
      </c>
    </row>
    <row r="2261">
      <c r="B2261" s="22" t="inlineStr">
        <is>
          <t>MF7060 - EYE TEST OPTICALS  L.L.C.</t>
        </is>
      </c>
    </row>
    <row r="2262">
      <c r="B2262" s="22" t="inlineStr">
        <is>
          <t>MF8074 - AD-225 Clinic</t>
        </is>
      </c>
    </row>
    <row r="2263">
      <c r="B2263" s="22" t="inlineStr">
        <is>
          <t>MF8099 - AL GHAD NURSERIES - AL FALAH 2 - L.L.C - O.P.C</t>
        </is>
      </c>
    </row>
    <row r="2264">
      <c r="B2264" s="22" t="inlineStr">
        <is>
          <t>MF8104 - SABIS INTERNATIONAL SCHOOL - AL BATEEN - L.L.C - S.P.C</t>
        </is>
      </c>
    </row>
    <row r="2265">
      <c r="B2265" s="22" t="inlineStr">
        <is>
          <t>MF8055 - RADIANT AYURVEDIC NATURAL CLINIC  - L.L.C</t>
        </is>
      </c>
    </row>
    <row r="2266">
      <c r="B2266" s="22" t="inlineStr">
        <is>
          <t>MF8096 - AL AMIN OPTICALS LLC - BRANCH OF ABU DHABI 3</t>
        </is>
      </c>
    </row>
    <row r="2267">
      <c r="B2267" s="22" t="inlineStr">
        <is>
          <t>MF7801 - GEM  OPTICIAN - SOLE PROPRIETORSHIP L.L.C.</t>
        </is>
      </c>
    </row>
    <row r="2268">
      <c r="B2268" s="22" t="inlineStr">
        <is>
          <t>MF8037 - LIFECARE CLINIC  L.L.C. - BRANCH  5</t>
        </is>
      </c>
    </row>
    <row r="2269">
      <c r="B2269" s="22" t="inlineStr">
        <is>
          <t>MF8190 - ZSH MANAGEMENT MEDICAL SERVICES  - L.L.C - S.P.C</t>
        </is>
      </c>
    </row>
    <row r="2270">
      <c r="B2270" s="22" t="inlineStr">
        <is>
          <t>MF8126 - DOCTOR M OPTICAL BR OF MAGRABI OPTICAL COMPANY L.L.C - BRANCH OF ABU DHABI</t>
        </is>
      </c>
    </row>
    <row r="2271">
      <c r="B2271" s="22" t="inlineStr">
        <is>
          <t>MF8133 - CAPITAL MEDICAL CENTRE FOR HEALTH SCREENING  - L.L.C - O.P.C - BRANCH</t>
        </is>
      </c>
    </row>
    <row r="2272">
      <c r="B2272" s="22" t="inlineStr">
        <is>
          <t>MF8313 - Al Falah City School Clinic 2</t>
        </is>
      </c>
    </row>
    <row r="2273">
      <c r="B2273" s="22" t="inlineStr">
        <is>
          <t>MF8086 - AL SHAMEEL MEDICAL CENTER - L.L.C</t>
        </is>
      </c>
    </row>
    <row r="2274">
      <c r="B2274" s="22" t="inlineStr">
        <is>
          <t>MF8187 - BLUE COLLAR CLINIC - L.L.C - S.P.C</t>
        </is>
      </c>
    </row>
    <row r="2275">
      <c r="B2275" s="22" t="inlineStr">
        <is>
          <t>MF8083 - CAPITAL AMBULANCE AND MEDICAL SERVICES  - L.L.C - O.P.C</t>
        </is>
      </c>
    </row>
    <row r="2276">
      <c r="B2276" s="22" t="inlineStr">
        <is>
          <t>MF8174 - S.J. ABED GENERAL ENTERPRISES LTD -  ABU DHABI..</t>
        </is>
      </c>
    </row>
    <row r="2277">
      <c r="B2277" s="22" t="inlineStr">
        <is>
          <t>MF8227 - Applied Technology schools alain - alhili boys clinic</t>
        </is>
      </c>
    </row>
    <row r="2278">
      <c r="B2278" s="22" t="inlineStr">
        <is>
          <t>MF8420 - AJYAL AMERICAN ACADEMY - L.L.C - S.P.C</t>
        </is>
      </c>
    </row>
    <row r="2279">
      <c r="B2279" s="22" t="inlineStr">
        <is>
          <t>MF8431 - Vogue Beauty Clinic Limited</t>
        </is>
      </c>
    </row>
    <row r="2280">
      <c r="B2280" s="22" t="inlineStr">
        <is>
          <t>MF8506 - Sas Al Nakhl School Clinic</t>
        </is>
      </c>
    </row>
    <row r="2281">
      <c r="B2281" s="22" t="inlineStr">
        <is>
          <t>MF8562 - SPARKLING SMILE DENTAL CLINIC  - L.L.C - S.P.C</t>
        </is>
      </c>
    </row>
    <row r="2282">
      <c r="B2282" s="22" t="inlineStr">
        <is>
          <t>MF8340 - HELENE JAPANESE STEM CELL CENTER - L.L.C</t>
        </is>
      </c>
    </row>
    <row r="2283">
      <c r="B2283" s="22" t="inlineStr">
        <is>
          <t>MF8594 - FLORIDA AESTHETIC MEDICAL CLINIC - L.L.C - S.P.C</t>
        </is>
      </c>
    </row>
    <row r="2284">
      <c r="B2284" s="22" t="inlineStr">
        <is>
          <t>MF8628 - AYLA DERMATOLOGY CLINIC - L.L.C - S.P.C</t>
        </is>
      </c>
    </row>
    <row r="2285">
      <c r="B2285" s="22" t="inlineStr">
        <is>
          <t>MF2291 - ZIRKU MEDICAL CENTER</t>
        </is>
      </c>
    </row>
    <row r="2286">
      <c r="B2286" s="22" t="inlineStr">
        <is>
          <t>MF1162 - UNIVIRSTY MEDICAL CENTRE</t>
        </is>
      </c>
    </row>
    <row r="2287">
      <c r="B2287" s="22" t="inlineStr">
        <is>
          <t>MF399 - TOWER MEDICAL CENTRE</t>
        </is>
      </c>
    </row>
    <row r="2288">
      <c r="B2288" s="22" t="inlineStr">
        <is>
          <t>MF2456 - UAE UNIVERSITY CLINICS</t>
        </is>
      </c>
    </row>
    <row r="2289">
      <c r="B2289" s="22" t="inlineStr">
        <is>
          <t>MF791 - SIRAJ MEDICAL CLINIC</t>
        </is>
      </c>
    </row>
    <row r="2290">
      <c r="B2290" s="22" t="inlineStr">
        <is>
          <t>MF2051 - SEER BANIYAS PRIMARY HEALTH CARE CENTER</t>
        </is>
      </c>
    </row>
    <row r="2291">
      <c r="B2291" s="22" t="inlineStr">
        <is>
          <t>MF2460 - REHAB FOR PHYSICAL THERAPY</t>
        </is>
      </c>
    </row>
    <row r="2292">
      <c r="B2292" s="22" t="inlineStr">
        <is>
          <t>MF1932 - PRESTIGE CLINIC</t>
        </is>
      </c>
    </row>
    <row r="2293">
      <c r="B2293" s="22" t="inlineStr">
        <is>
          <t>MF2340 - PRIMA CURE MEDICAL COMPLEX - L.L.C - S.P.C</t>
        </is>
      </c>
    </row>
    <row r="2294">
      <c r="B2294" s="22" t="inlineStr">
        <is>
          <t>MF422 - RAAJ MEDICAL COMPALEX</t>
        </is>
      </c>
    </row>
    <row r="2295">
      <c r="B2295" s="22" t="inlineStr">
        <is>
          <t>MF1961 - OAISS BRACES CENTRE LIMITED</t>
        </is>
      </c>
    </row>
    <row r="2296">
      <c r="B2296" s="22" t="inlineStr">
        <is>
          <t>MF404 - KANAD HOSPITAL</t>
        </is>
      </c>
    </row>
    <row r="2297">
      <c r="B2297" s="22" t="inlineStr">
        <is>
          <t>MF1919 - NEW LIFE SPECIALIZED CLINIC</t>
        </is>
      </c>
    </row>
    <row r="2298">
      <c r="B2298" s="22" t="inlineStr">
        <is>
          <t>MF1618 - NEW HEALTHLINE MEDICAL CENTER</t>
        </is>
      </c>
    </row>
    <row r="2299">
      <c r="B2299" s="22" t="inlineStr">
        <is>
          <t>MF1432 - NAZEEH SPECIALIZED DENTAL CLINIC</t>
        </is>
      </c>
    </row>
    <row r="2300">
      <c r="B2300" s="22" t="inlineStr">
        <is>
          <t>MF2329 - NEW ALMELOUK MEDICAL POLYCLINIC L L C.</t>
        </is>
      </c>
    </row>
    <row r="2301">
      <c r="B2301" s="22" t="inlineStr">
        <is>
          <t>MF1430 - MUSK HEALTH REHABILIT-ATION CENTRE</t>
        </is>
      </c>
    </row>
    <row r="2302">
      <c r="B2302" s="22" t="inlineStr">
        <is>
          <t>MF505 - NABIL SABBAGH CLINIC</t>
        </is>
      </c>
    </row>
    <row r="2303">
      <c r="B2303" s="22" t="inlineStr">
        <is>
          <t>MF384 - NATIONAL DRILLING COMPANY</t>
        </is>
      </c>
    </row>
    <row r="2304">
      <c r="B2304" s="22" t="inlineStr">
        <is>
          <t>MF1604 - MOTHEL PHYSIOTHERAPY</t>
        </is>
      </c>
    </row>
    <row r="2305">
      <c r="B2305" s="22" t="inlineStr">
        <is>
          <t>MF636 - MAKKAH SPECIALIZED MEDICAL CENTRE</t>
        </is>
      </c>
    </row>
    <row r="2306">
      <c r="B2306" s="22" t="inlineStr">
        <is>
          <t>MF345 - MILAD OPTICAL</t>
        </is>
      </c>
    </row>
    <row r="2307">
      <c r="B2307" s="22" t="inlineStr">
        <is>
          <t>MF2473 - MEDECINS SANS FRONTIERES</t>
        </is>
      </c>
    </row>
    <row r="2308">
      <c r="B2308" s="22" t="inlineStr">
        <is>
          <t>MF823 - MEDICAL LASER CENTER / DENTAL</t>
        </is>
      </c>
    </row>
    <row r="2309">
      <c r="B2309" s="22" t="inlineStr">
        <is>
          <t>MF288 - J.M. VORA CLINIC</t>
        </is>
      </c>
    </row>
    <row r="2310">
      <c r="B2310" s="22" t="inlineStr">
        <is>
          <t>MF1916 - INTENSIVE CARE DERMOTOLOGY CLINIC</t>
        </is>
      </c>
    </row>
    <row r="2311">
      <c r="B2311" s="22" t="inlineStr">
        <is>
          <t>MF1029 - INTERNATIONAL HEALTH CLINIC</t>
        </is>
      </c>
    </row>
    <row r="2312">
      <c r="B2312" s="22" t="inlineStr">
        <is>
          <t>MF899 - IBN SINA MEDICAL CENTER - SOLE PROPRIETORSHIP L.L.C</t>
        </is>
      </c>
    </row>
    <row r="2313">
      <c r="B2313" s="22" t="inlineStr">
        <is>
          <t>MF731 - H.H. CROWN PRINCE COURT</t>
        </is>
      </c>
    </row>
    <row r="2314">
      <c r="B2314" s="22" t="inlineStr">
        <is>
          <t>MF2407 - GS HOSPITAL</t>
        </is>
      </c>
    </row>
    <row r="2315">
      <c r="B2315" s="22" t="inlineStr">
        <is>
          <t>MF609 - GULF CHINESE MEDICAL CENTER - SOLE PROPRIETORSHIP L.L.C.</t>
        </is>
      </c>
    </row>
    <row r="2316">
      <c r="B2316" s="22" t="inlineStr">
        <is>
          <t>MF2333 - Habshan Medical Center</t>
        </is>
      </c>
    </row>
    <row r="2317">
      <c r="B2317" s="22" t="inlineStr">
        <is>
          <t>MF269 - HAFIT MEDICAL COMPLEX L.L.C.</t>
        </is>
      </c>
    </row>
    <row r="2318">
      <c r="B2318" s="22" t="inlineStr">
        <is>
          <t>MF251 - G. PILLAY  DENTAL CLINIC</t>
        </is>
      </c>
    </row>
    <row r="2319">
      <c r="B2319" s="22" t="inlineStr">
        <is>
          <t>MF2079 - FAMILY HEALTH CARE MEDICAL POLY CLINICS - L.L.C - O.P.C</t>
        </is>
      </c>
    </row>
    <row r="2320">
      <c r="B2320" s="22" t="inlineStr">
        <is>
          <t>MF1891 - FAMILY SPECILIZATION HOSPITAL</t>
        </is>
      </c>
    </row>
    <row r="2321">
      <c r="B2321" s="22" t="inlineStr">
        <is>
          <t>MF1468 - ELAJ MEDICAL CENTRE - BRANCH FROM DUBAI</t>
        </is>
      </c>
    </row>
    <row r="2322">
      <c r="B2322" s="22" t="inlineStr">
        <is>
          <t>MF847 - DR. MOHAMED KHALIL PEADIATRIC CLINIC L L C</t>
        </is>
      </c>
    </row>
    <row r="2323">
      <c r="B2323" s="22" t="inlineStr">
        <is>
          <t>MF626 - DR. NAWAL MEDICAL CLINIC</t>
        </is>
      </c>
    </row>
    <row r="2324">
      <c r="B2324" s="22" t="inlineStr">
        <is>
          <t>MF2 - SYNERGY ADVANCED DENTAL AND ORTHODONTIC CENTER - L.L.C</t>
        </is>
      </c>
    </row>
    <row r="2325">
      <c r="B2325" s="22" t="inlineStr">
        <is>
          <t>MF34 - DR. AKRAM AL SHABIBI CLINIC</t>
        </is>
      </c>
    </row>
    <row r="2326">
      <c r="B2326" s="22" t="inlineStr">
        <is>
          <t>MF2272 - BAYNONA CITY GENERAL HOSPITAL</t>
        </is>
      </c>
    </row>
    <row r="2327">
      <c r="B2327" s="22" t="inlineStr">
        <is>
          <t>MF1241 - CORNICHE GATE MEDICAL CENTER LLC</t>
        </is>
      </c>
    </row>
    <row r="2328">
      <c r="B2328" s="22" t="inlineStr">
        <is>
          <t>MF2021 - AL MAQTAA HEALTHCARE CENTER</t>
        </is>
      </c>
    </row>
    <row r="2329">
      <c r="B2329" s="22" t="inlineStr">
        <is>
          <t>MF185 - BALBIR MEDICAL CLINIC</t>
        </is>
      </c>
    </row>
    <row r="2330">
      <c r="B2330" s="22" t="inlineStr">
        <is>
          <t>MF1196 - BANIYAS MEDICAL CLINICS</t>
        </is>
      </c>
    </row>
    <row r="2331">
      <c r="B2331" s="22" t="inlineStr">
        <is>
          <t>MF553 - ART DENTAL LABORATORY</t>
        </is>
      </c>
    </row>
    <row r="2332">
      <c r="B2332" s="22" t="inlineStr">
        <is>
          <t>MF935 - AZZA SPECIALISED CLINIC</t>
        </is>
      </c>
    </row>
    <row r="2333">
      <c r="B2333" s="22" t="inlineStr">
        <is>
          <t>MF733 - ARABIAN OPTIC  EST.</t>
        </is>
      </c>
    </row>
    <row r="2334">
      <c r="B2334" s="22" t="inlineStr">
        <is>
          <t>MF165 - AMERICAN DENTAL CENTRE</t>
        </is>
      </c>
    </row>
    <row r="2335">
      <c r="B2335" s="22" t="inlineStr">
        <is>
          <t>MF1741 - ALRABEEA HOSPITAL FOR SPECIAL NEEDS</t>
        </is>
      </c>
    </row>
    <row r="2336">
      <c r="B2336" s="22" t="inlineStr">
        <is>
          <t>MF1799 - Index Eye Center - L.L.C</t>
        </is>
      </c>
    </row>
    <row r="2337">
      <c r="B2337" s="22" t="inlineStr">
        <is>
          <t>MF1807 - AL YASAT SPECIALIZED HOSPITAL</t>
        </is>
      </c>
    </row>
    <row r="2338">
      <c r="B2338" s="22" t="inlineStr">
        <is>
          <t>MF2098 - AL SHUWAIB HEALTHCARE CENTER</t>
        </is>
      </c>
    </row>
    <row r="2339">
      <c r="B2339" s="22" t="inlineStr">
        <is>
          <t>MF148 - AL WADI MEDICAL CENTRE</t>
        </is>
      </c>
    </row>
    <row r="2340">
      <c r="B2340" s="22" t="inlineStr">
        <is>
          <t>MF136 - AL SHAAB MEDICAL CLINIC</t>
        </is>
      </c>
    </row>
    <row r="2341">
      <c r="B2341" s="22" t="inlineStr">
        <is>
          <t>MF1197 - AL SAADA MEDICAL CLINIC</t>
        </is>
      </c>
    </row>
    <row r="2342">
      <c r="B2342" s="22" t="inlineStr">
        <is>
          <t>MF118 - MEDICLINIC HOSPITALS - L.L.C - O.P.C ( AL NOOR HOSPITAL ) -BRANCH</t>
        </is>
      </c>
    </row>
    <row r="2343">
      <c r="B2343" s="22" t="inlineStr">
        <is>
          <t>MF2089 - AL MUWAIJI HEALTHCARE CENTER</t>
        </is>
      </c>
    </row>
    <row r="2344">
      <c r="B2344" s="22" t="inlineStr">
        <is>
          <t>MF1243 - AL MANAR SPECIALIZED CLINIC</t>
        </is>
      </c>
    </row>
    <row r="2345">
      <c r="B2345" s="22" t="inlineStr">
        <is>
          <t>MF333 - AL MARFA SPECIALIZED CLINIC</t>
        </is>
      </c>
    </row>
    <row r="2346">
      <c r="B2346" s="22" t="inlineStr">
        <is>
          <t>MF1698 - AL KHAN DENTAL CENTER - L.L.C</t>
        </is>
      </c>
    </row>
    <row r="2347">
      <c r="B2347" s="22" t="inlineStr">
        <is>
          <t>MF1754 - AL KUBAIRAH MEDICAL CENTRE</t>
        </is>
      </c>
    </row>
    <row r="2348">
      <c r="B2348" s="22" t="inlineStr">
        <is>
          <t>MF290 - AL HAJJAR DENTAL CLINIC - L.L.C - S.P.C</t>
        </is>
      </c>
    </row>
    <row r="2349">
      <c r="B2349" s="22" t="inlineStr">
        <is>
          <t>MF57 - AL DAMLUJI MEDICAL CONSULTANTS CLINIC</t>
        </is>
      </c>
    </row>
    <row r="2350">
      <c r="B2350" s="22" t="inlineStr">
        <is>
          <t>MF58 - AL DANA MEDICAL &amp;  DENTAL CENTRE L.L.C.</t>
        </is>
      </c>
    </row>
    <row r="2351">
      <c r="B2351" s="22" t="inlineStr">
        <is>
          <t>MF46 - AL ANDALUS DENTAL CLINIC L.L.C. - O.P.C</t>
        </is>
      </c>
    </row>
    <row r="2352">
      <c r="B2352" s="22" t="inlineStr">
        <is>
          <t>MF478 - AL AIN MODERN MEDICAL GROUP</t>
        </is>
      </c>
    </row>
    <row r="2353">
      <c r="B2353" s="22" t="inlineStr">
        <is>
          <t>MF44 - AL AMEEN MEDICAL CENTRE  L. L. C.</t>
        </is>
      </c>
    </row>
    <row r="2354">
      <c r="B2354" s="22" t="inlineStr">
        <is>
          <t>MF1752 - ABU DHABI NATIONAL HOSPITAL</t>
        </is>
      </c>
    </row>
    <row r="2355">
      <c r="B2355" s="22" t="inlineStr">
        <is>
          <t>MF606 - ABU DHABI NATIONAL OIL CO. FOD CLINIC</t>
        </is>
      </c>
    </row>
    <row r="2356">
      <c r="B2356" s="22" t="inlineStr">
        <is>
          <t>MF37 - AL AAHED MEDICAL CENTRE - SOLE PROPRIETORSHIP L.L.C.</t>
        </is>
      </c>
    </row>
    <row r="2357">
      <c r="B2357" s="22" t="inlineStr">
        <is>
          <t>MF2541 - EVER GREEN REHABILATION HOSPITAL</t>
        </is>
      </c>
    </row>
    <row r="2358">
      <c r="B2358" s="22" t="inlineStr">
        <is>
          <t>MF2589 - HAWAA MEDICAL CENTER</t>
        </is>
      </c>
    </row>
    <row r="2359">
      <c r="B2359" s="22" t="inlineStr">
        <is>
          <t>MF2945 - Petrofac Emirates Clinic - Ruwais Project</t>
        </is>
      </c>
    </row>
    <row r="2360">
      <c r="B2360" s="22" t="inlineStr">
        <is>
          <t>MF2545 - WESTHANI THAILANDY PHYSIOTHERAPY CENTRE</t>
        </is>
      </c>
    </row>
    <row r="2361">
      <c r="B2361" s="22" t="inlineStr">
        <is>
          <t>MF2951 - ALRIYADH MEDICAL CENTRE - L.L.C - O.P.C</t>
        </is>
      </c>
    </row>
    <row r="2362">
      <c r="B2362" s="22" t="inlineStr">
        <is>
          <t>MF3041 - AL BUSTAN AL AKHDAR CLINIC - ABU DHABI UNIVERSITY LLC</t>
        </is>
      </c>
    </row>
    <row r="2363">
      <c r="B2363" s="22" t="inlineStr">
        <is>
          <t>MF3142 - FIRST INTERNATIONAL FOR SAFETY SYSTEM TRAINEE</t>
        </is>
      </c>
    </row>
    <row r="2364">
      <c r="B2364" s="22" t="inlineStr">
        <is>
          <t>MF3034 - I CARE MEDICAL CENTRE LLC</t>
        </is>
      </c>
    </row>
    <row r="2365">
      <c r="B2365" s="22" t="inlineStr">
        <is>
          <t>MF3062 - MID GATE HEALTH SERVICES</t>
        </is>
      </c>
    </row>
    <row r="2366">
      <c r="B2366" s="22" t="inlineStr">
        <is>
          <t>MF3068 - SMART HEALTH SERVICES - L L C</t>
        </is>
      </c>
    </row>
    <row r="2367">
      <c r="B2367" s="22" t="inlineStr">
        <is>
          <t>MF3052 - MEDLIFE MEDICAL CENTRE - L.L.C - S.P.C</t>
        </is>
      </c>
    </row>
    <row r="2368">
      <c r="B2368" s="22" t="inlineStr">
        <is>
          <t>MF1876 - ALABATH ALTERNATIVE MEDICAL CENTRE</t>
        </is>
      </c>
    </row>
    <row r="2369">
      <c r="B2369" s="22" t="inlineStr">
        <is>
          <t>MF1368 - LUCK PHYSIOTHERAPY CENTRE</t>
        </is>
      </c>
    </row>
    <row r="2370">
      <c r="B2370" s="22" t="inlineStr">
        <is>
          <t>MF2519 - LIVE'LY LLC ABU DHABI</t>
        </is>
      </c>
    </row>
    <row r="2371">
      <c r="B2371" s="22" t="inlineStr">
        <is>
          <t>MF1920 - TRUST MEDICAL CENTER LLC</t>
        </is>
      </c>
    </row>
    <row r="2372">
      <c r="B2372" s="22" t="inlineStr">
        <is>
          <t>MF471 - TABARAK MEDICAL POLYCLINIC - SOLE PROPRIETORSHIP L.L.C.</t>
        </is>
      </c>
    </row>
    <row r="2373">
      <c r="B2373" s="22" t="inlineStr">
        <is>
          <t>MF1963 - Abu Dhabi Refinery Clinic</t>
        </is>
      </c>
    </row>
    <row r="2374">
      <c r="B2374" s="22" t="inlineStr">
        <is>
          <t>MF1507 - QUANTUM ALTERNATIVE CENTER</t>
        </is>
      </c>
    </row>
    <row r="2375">
      <c r="B2375" s="22" t="inlineStr">
        <is>
          <t>MF391 - BLOOM DENTAL CENTRE</t>
        </is>
      </c>
    </row>
    <row r="2376">
      <c r="B2376" s="22" t="inlineStr">
        <is>
          <t>MF2513 - Madinat Mohamed Bin Zayed Healthcare Center</t>
        </is>
      </c>
    </row>
    <row r="2377">
      <c r="B2377" s="22" t="inlineStr">
        <is>
          <t>MF1345 - EMIRATES INTERNATIONAL POLYCLINIC - SOLE PROPRIETORSHIP L.L.C.</t>
        </is>
      </c>
    </row>
    <row r="2378">
      <c r="B2378" s="22" t="inlineStr">
        <is>
          <t>MF1783 - DR.NABIL ALZAIHR SPECIALIZED CLINIC</t>
        </is>
      </c>
    </row>
    <row r="2379">
      <c r="B2379" s="22" t="inlineStr">
        <is>
          <t>MF1011 - QUALITY CARE MEDICAL CENTER L.L.C</t>
        </is>
      </c>
    </row>
    <row r="2380">
      <c r="B2380" s="22" t="inlineStr">
        <is>
          <t>MF2327 - DR CHAWKY HADDAD DENTAL CLINIC - L.L.C</t>
        </is>
      </c>
    </row>
    <row r="2381">
      <c r="B2381" s="22" t="inlineStr">
        <is>
          <t>MF1753 - DELMA AHALIA MEDICAL CENTRE</t>
        </is>
      </c>
    </row>
    <row r="2382">
      <c r="B2382" s="22" t="inlineStr">
        <is>
          <t>MF466 - BIN SULAIMAN MEDICAL CENTRE - L.L.C - O.P.C</t>
        </is>
      </c>
    </row>
    <row r="2383">
      <c r="B2383" s="22" t="inlineStr">
        <is>
          <t>MF2295 - ANNABELLE MEDICAL &amp; BEAUTY CENTER</t>
        </is>
      </c>
    </row>
    <row r="2384">
      <c r="B2384" s="22" t="inlineStr">
        <is>
          <t>MF572 - ALPHA MEDICAL CENTRE L.L.C.</t>
        </is>
      </c>
    </row>
    <row r="2385">
      <c r="B2385" s="22" t="inlineStr">
        <is>
          <t>MF1132 - AL SAFWA MEDICAL CENTER L.L.C.</t>
        </is>
      </c>
    </row>
    <row r="2386">
      <c r="B2386" s="22" t="inlineStr">
        <is>
          <t>MF2510 - ALMAJAZ MEDICAL CENTER</t>
        </is>
      </c>
    </row>
    <row r="2387">
      <c r="B2387" s="22" t="inlineStr">
        <is>
          <t>MF581 - AL SADIQ MEDICAL CENTRE</t>
        </is>
      </c>
    </row>
    <row r="2388">
      <c r="B2388" s="22" t="inlineStr">
        <is>
          <t>MF2094 - Al Niyadat HealthCare Center</t>
        </is>
      </c>
    </row>
    <row r="2389">
      <c r="B2389" s="22" t="inlineStr">
        <is>
          <t>MF2095 - Al Maqam HealthCare Center</t>
        </is>
      </c>
    </row>
    <row r="2390">
      <c r="B2390" s="22" t="inlineStr">
        <is>
          <t>MF65 - ALFARABI MEDICAL CENTER - L.L.C - S.P.C</t>
        </is>
      </c>
    </row>
    <row r="2391">
      <c r="B2391" s="22" t="inlineStr">
        <is>
          <t>MF1408 - AL- GAMAL ADVANCED DENTAL CLINIC</t>
        </is>
      </c>
    </row>
    <row r="2392">
      <c r="B2392" s="22" t="inlineStr">
        <is>
          <t>MF50 - AL BAHRI DENTAL AND ORTHODONTIC CENTER - L.L.C - S.P.C</t>
        </is>
      </c>
    </row>
    <row r="2393">
      <c r="B2393" s="22" t="inlineStr">
        <is>
          <t>MF624 - AL AIN SPECIALIZED MEDICAL CENTER – L L C</t>
        </is>
      </c>
    </row>
    <row r="2394">
      <c r="B2394" s="22" t="inlineStr">
        <is>
          <t>MF2992 - AL JABER EST MEDICAL CLINIC - GHAITHI BRANCH</t>
        </is>
      </c>
    </row>
    <row r="2395">
      <c r="B2395" s="22" t="inlineStr">
        <is>
          <t>MF2530 - POLY CLINIC AESTHETIC DERMATOLOGY - PLASTIC SURGERY - DENTAL</t>
        </is>
      </c>
    </row>
    <row r="2396">
      <c r="B2396" s="22" t="inlineStr">
        <is>
          <t>MF2551 - DR. SUAD LUTFI MEDICAL CENTER - L.L.C - O.P.C</t>
        </is>
      </c>
    </row>
    <row r="2397">
      <c r="B2397" s="22" t="inlineStr">
        <is>
          <t>MF2552 - PETROFAC EMIRATES CLINIC LLC - ASAB PROJECT</t>
        </is>
      </c>
    </row>
    <row r="2398">
      <c r="B2398" s="22" t="inlineStr">
        <is>
          <t>MF2556 - TASAMEEM STX CONSTRUCTION CO.L.L.C CLINIC</t>
        </is>
      </c>
    </row>
    <row r="2399">
      <c r="B2399" s="22" t="inlineStr">
        <is>
          <t>MF2537 - AL RAID MEDICAL CENTRE - AL AIN BRANCH</t>
        </is>
      </c>
    </row>
    <row r="2400">
      <c r="B2400" s="22" t="inlineStr">
        <is>
          <t xml:space="preserve">MF2561 - CORRECTION &amp; PRISONS CLINIC / ALWATHBA MANAGED BY BURJEEL HOSPITAL L.L.C </t>
        </is>
      </c>
    </row>
    <row r="2401">
      <c r="B2401" s="22" t="inlineStr">
        <is>
          <t>MF2536 - DAR ALSALAM DENTAL CENTRE</t>
        </is>
      </c>
    </row>
    <row r="2402">
      <c r="B2402" s="22" t="inlineStr">
        <is>
          <t>MF3055 - HOPE ISLAND CENTER FOR PHYSICAL THERAPY</t>
        </is>
      </c>
    </row>
    <row r="2403">
      <c r="B2403" s="22" t="inlineStr">
        <is>
          <t>MF3091 - The Care For Coordinating Health Services</t>
        </is>
      </c>
    </row>
    <row r="2404">
      <c r="B2404" s="22" t="inlineStr">
        <is>
          <t>MF1751 - AL REEF INTERNAIONAL HOSPITAL</t>
        </is>
      </c>
    </row>
    <row r="2405">
      <c r="B2405" s="22" t="inlineStr">
        <is>
          <t>MF2275 - AL BADIE GENERAL HOSPITAL</t>
        </is>
      </c>
    </row>
    <row r="2406">
      <c r="B2406" s="22" t="inlineStr">
        <is>
          <t>MF2042 - AIRPORT CLINIC</t>
        </is>
      </c>
    </row>
    <row r="2407">
      <c r="B2407" s="22" t="inlineStr">
        <is>
          <t>MF3197 - BURJEEL MEDICAL CITY L.L.C.</t>
        </is>
      </c>
    </row>
    <row r="2408">
      <c r="B2408" s="22" t="inlineStr">
        <is>
          <t>MF3205 - SEHA KIDNEY CARE - AL SILA HOSPITAL</t>
        </is>
      </c>
    </row>
    <row r="2409">
      <c r="B2409" s="22" t="inlineStr">
        <is>
          <t>MF3207 - SEHA KIDNEY CARE - DELMA HOSPITAL</t>
        </is>
      </c>
    </row>
    <row r="2410">
      <c r="B2410" s="22" t="inlineStr">
        <is>
          <t>MF3210 - SEHA  Dialysis Services – Tawam Hospital</t>
        </is>
      </c>
    </row>
    <row r="2411">
      <c r="B2411" s="22" t="inlineStr">
        <is>
          <t>MF3218 - AL NAJAH CENTER FOR HANDICAPPED REHABILITATION</t>
        </is>
      </c>
    </row>
    <row r="2412">
      <c r="B2412" s="22" t="inlineStr">
        <is>
          <t>MF3236 - LAVA LABORATORY DENTAL</t>
        </is>
      </c>
    </row>
    <row r="2413">
      <c r="B2413" s="22" t="inlineStr">
        <is>
          <t>MF3240 - TRAINING VILLAGE MEDICAL CLINIC</t>
        </is>
      </c>
    </row>
    <row r="2414">
      <c r="B2414" s="22" t="inlineStr">
        <is>
          <t>MF3249 - PEARLY SMILE DENTAL CENTER L.L.C - BRANCH 1</t>
        </is>
      </c>
    </row>
    <row r="2415">
      <c r="B2415" s="22" t="inlineStr">
        <is>
          <t>MF3255 - THE DOCTORS MEDICAL CENTER L.L.C MANAGED BY Via Medica International Healthcare L.L.C.</t>
        </is>
      </c>
    </row>
    <row r="2416">
      <c r="B2416" s="22" t="inlineStr">
        <is>
          <t>MF3258 - AWAZEN MEDICAL CENTER OWEND BY ALI &amp; SONS HOLDING COMPANY- SOLE PROPRIETORSHIP L.L.C</t>
        </is>
      </c>
    </row>
    <row r="2417">
      <c r="B2417" s="22" t="inlineStr">
        <is>
          <t>MF3264 - VIENNA MEDICAL POLYCLINIC</t>
        </is>
      </c>
    </row>
    <row r="2418">
      <c r="B2418" s="22" t="inlineStr">
        <is>
          <t>MF3283 - CLASS CARE POLYCLINICS</t>
        </is>
      </c>
    </row>
    <row r="2419">
      <c r="B2419" s="22" t="inlineStr">
        <is>
          <t>MF3293 - Gulf Human Resources Development For Recruitment</t>
        </is>
      </c>
    </row>
    <row r="2420">
      <c r="B2420" s="22" t="inlineStr">
        <is>
          <t>MF2367 - VLCC INTERNATIONAL LLC - AL AIN BRANCH</t>
        </is>
      </c>
    </row>
    <row r="2421">
      <c r="B2421" s="22" t="inlineStr">
        <is>
          <t>MF479 - THE BEST OPTICS</t>
        </is>
      </c>
    </row>
    <row r="2422">
      <c r="B2422" s="22" t="inlineStr">
        <is>
          <t>MF409 - OPTIC ESTABLISHMENT</t>
        </is>
      </c>
    </row>
    <row r="2423">
      <c r="B2423" s="22" t="inlineStr">
        <is>
          <t>MF339 - MEDICAL SPECIALITY CENTRE L L C</t>
        </is>
      </c>
    </row>
    <row r="2424">
      <c r="B2424" s="22" t="inlineStr">
        <is>
          <t>MF1238 - FASHION OPTICS</t>
        </is>
      </c>
    </row>
    <row r="2425">
      <c r="B2425" s="22" t="inlineStr">
        <is>
          <t>MF1021 - GARDENIA DENTAL CLINIC</t>
        </is>
      </c>
    </row>
    <row r="2426">
      <c r="B2426" s="22" t="inlineStr">
        <is>
          <t>MF1411 - CORNICHE NATURAL CARE &amp; TREAMENT</t>
        </is>
      </c>
    </row>
    <row r="2427">
      <c r="B2427" s="22" t="inlineStr">
        <is>
          <t>MF2494 - AL SALAM GROUP FOR HEALTH CARE L.L.C</t>
        </is>
      </c>
    </row>
    <row r="2428">
      <c r="B2428" s="22" t="inlineStr">
        <is>
          <t>MF1656 - AL ROWAD MEDICAL COMPLEX</t>
        </is>
      </c>
    </row>
    <row r="2429">
      <c r="B2429" s="22" t="inlineStr">
        <is>
          <t>MF3067 - EMIRATES CHINESE HOSPITAL</t>
        </is>
      </c>
    </row>
    <row r="2430">
      <c r="B2430" s="22" t="inlineStr">
        <is>
          <t>MF3170 - LA SPOSA SKIN CARE CLINIC</t>
        </is>
      </c>
    </row>
    <row r="2431">
      <c r="B2431" s="22" t="inlineStr">
        <is>
          <t>MF3179 - CLINICA JOELLE CENTER - L.L.C - S.P.C</t>
        </is>
      </c>
    </row>
    <row r="2432">
      <c r="B2432" s="22" t="inlineStr">
        <is>
          <t>MF3323 - MEDICARE CENTRE L.L.C.</t>
        </is>
      </c>
    </row>
    <row r="2433">
      <c r="B2433" s="22" t="inlineStr">
        <is>
          <t>MF1258 - ORIENTAL PHSIOTHERAPY CENTER</t>
        </is>
      </c>
    </row>
    <row r="2434">
      <c r="B2434" s="22" t="inlineStr">
        <is>
          <t>MF577 - GAYATHI AL AHLI MEDICAL CENTRE</t>
        </is>
      </c>
    </row>
    <row r="2435">
      <c r="B2435" s="22" t="inlineStr">
        <is>
          <t>MF2324 - FIRST GULF HOSPITALS -  LLC</t>
        </is>
      </c>
    </row>
    <row r="2436">
      <c r="B2436" s="22" t="inlineStr">
        <is>
          <t>MF361 - DR. MONA AL JAZIRI DENTAL CLINIC</t>
        </is>
      </c>
    </row>
    <row r="2437">
      <c r="B2437" s="22" t="inlineStr">
        <is>
          <t>MF2405 - AMANA SPECIALIZED MEDICAL CENTER -L.L.C - O.P.C</t>
        </is>
      </c>
    </row>
    <row r="2438">
      <c r="B2438" s="22" t="inlineStr">
        <is>
          <t>MF151 - AL WAHDA MEDICAL CENTRE</t>
        </is>
      </c>
    </row>
    <row r="2439">
      <c r="B2439" s="22" t="inlineStr">
        <is>
          <t>MF2960 - TAWAM IVF CENTER</t>
        </is>
      </c>
    </row>
    <row r="2440">
      <c r="B2440" s="22" t="inlineStr">
        <is>
          <t>MF2940 - YATEEM SPECIALIZED CENTER DAY SURGERY - L.L.C - S.P.C</t>
        </is>
      </c>
    </row>
    <row r="2441">
      <c r="B2441" s="22" t="inlineStr">
        <is>
          <t>MF2593 - BADR AL SAMAA MEDICAL CENTER</t>
        </is>
      </c>
    </row>
    <row r="2442">
      <c r="B2442" s="22" t="inlineStr">
        <is>
          <t>MF3084 - ALSALAM CITY MEDICAL CENTER</t>
        </is>
      </c>
    </row>
    <row r="2443">
      <c r="B2443" s="22" t="inlineStr">
        <is>
          <t>MF3125 - PESHAWAR MEDICAL CENTRE L.L.C.</t>
        </is>
      </c>
    </row>
    <row r="2444">
      <c r="B2444" s="22" t="inlineStr">
        <is>
          <t>MF1954 - LLH HOSPITAL L.L.C</t>
        </is>
      </c>
    </row>
    <row r="2445">
      <c r="B2445" s="22" t="inlineStr">
        <is>
          <t>MF1047 - IBN AL NAFIS MEDICAL CENTRE L.L.C</t>
        </is>
      </c>
    </row>
    <row r="2446">
      <c r="B2446" s="22" t="inlineStr">
        <is>
          <t>MF1198 - DR. WALAA FAKHR MEDICAL CENTRE</t>
        </is>
      </c>
    </row>
    <row r="2447">
      <c r="B2447" s="22" t="inlineStr">
        <is>
          <t>MF187 - BASEL MEDICAL CENTRE L.L.C.</t>
        </is>
      </c>
    </row>
    <row r="2448">
      <c r="B2448" s="22" t="inlineStr">
        <is>
          <t>MF1554 - AL WOROOD MEDICAL CENTRE</t>
        </is>
      </c>
    </row>
    <row r="2449">
      <c r="B2449" s="22" t="inlineStr">
        <is>
          <t>MF108 - AL MUSAFFAH AL ALHLI MEDICAL CENTRE</t>
        </is>
      </c>
    </row>
    <row r="2450">
      <c r="B2450" s="22" t="inlineStr">
        <is>
          <t>MF1139 - AL JAMAL MEDICAL AND DENTAL CENTRE</t>
        </is>
      </c>
    </row>
    <row r="2451">
      <c r="B2451" s="22" t="inlineStr">
        <is>
          <t>MF3004 - ALL CARE MEDICAL CENTER - L.L.C - S.P.C</t>
        </is>
      </c>
    </row>
    <row r="2452">
      <c r="B2452" s="22" t="inlineStr">
        <is>
          <t>MF2926 - SADIQ POLYCLINIC - SOLE PROPRIETORSHIP  L.L.C</t>
        </is>
      </c>
    </row>
    <row r="2453">
      <c r="B2453" s="22" t="inlineStr">
        <is>
          <t>MF3043 - WAZIRUSTAN MEDICAL CENTRE - L.L.C - O.P.C</t>
        </is>
      </c>
    </row>
    <row r="2454">
      <c r="B2454" s="22" t="inlineStr">
        <is>
          <t>MF3256 - HEALTHWAY MEDICAL CENTER - SOLE PROPRIETORSHIP L.L.C.-BRANCH</t>
        </is>
      </c>
    </row>
    <row r="2455">
      <c r="B2455" s="22" t="inlineStr">
        <is>
          <t>MF1572 - AL KARAMA MEDICAL CENTER  L.L.C.</t>
        </is>
      </c>
    </row>
    <row r="2456">
      <c r="B2456" s="22" t="inlineStr">
        <is>
          <t>MF3534 - Harmony Medical Center LLC</t>
        </is>
      </c>
    </row>
    <row r="2457">
      <c r="B2457" s="22" t="inlineStr">
        <is>
          <t>MF3527 - HEALTH AND LIFE HOSPITAL MANAGEMENT</t>
        </is>
      </c>
    </row>
    <row r="2458">
      <c r="B2458" s="22" t="inlineStr">
        <is>
          <t>MF3545 -  QUSAHWIRA CLINIC</t>
        </is>
      </c>
    </row>
    <row r="2459">
      <c r="B2459" s="22" t="inlineStr">
        <is>
          <t>MF3687 - AL HILAL PRIVATE NURSING &amp; MEDICAL SERVICES  L.L.C.</t>
        </is>
      </c>
    </row>
    <row r="2460">
      <c r="B2460" s="22" t="inlineStr">
        <is>
          <t>MF3590 - LONG TERM MEDICAL AND REHABILITATION HOSPITAL LLC</t>
        </is>
      </c>
    </row>
    <row r="2461">
      <c r="B2461" s="22" t="inlineStr">
        <is>
          <t>MF3662 - ALMKARM HOSPITAL</t>
        </is>
      </c>
    </row>
    <row r="2462">
      <c r="B2462" s="22" t="inlineStr">
        <is>
          <t>MF3591 - MEDICONSULT HOSPITAL MANAGEMENT LLC</t>
        </is>
      </c>
    </row>
    <row r="2463">
      <c r="B2463" s="22" t="inlineStr">
        <is>
          <t>MF3670 - GRAND LEGEND SPECIALIZED HOSPITAL</t>
        </is>
      </c>
    </row>
    <row r="2464">
      <c r="B2464" s="22" t="inlineStr">
        <is>
          <t>MF3643 - MEDSTAR CLINICS SANAIYA ALAIN L.L.C - O.P.C</t>
        </is>
      </c>
    </row>
    <row r="2465">
      <c r="B2465" s="22" t="inlineStr">
        <is>
          <t>MF3617 - FIRST IVF FERTILITY CENTRE L.L.C.</t>
        </is>
      </c>
    </row>
    <row r="2466">
      <c r="B2466" s="22" t="inlineStr">
        <is>
          <t>MF3618 - iris medical center -sole proprietorship L.L.C</t>
        </is>
      </c>
    </row>
    <row r="2467">
      <c r="B2467" s="22" t="inlineStr">
        <is>
          <t>MF3637 - REGIONAL HEALTHCARE SOLUTIONS L.L.C</t>
        </is>
      </c>
    </row>
    <row r="2468">
      <c r="B2468" s="22" t="inlineStr">
        <is>
          <t>MF3714 - SALMA REHABILITATION HOSPITAL - L.L.C - S.P.C</t>
        </is>
      </c>
    </row>
    <row r="2469">
      <c r="B2469" s="22" t="inlineStr">
        <is>
          <t>MF3646 - SAFETY FIRST MEDICAL SERVICES - SOLE PROPRIETORSHIP L.L.C.</t>
        </is>
      </c>
    </row>
    <row r="2470">
      <c r="B2470" s="22" t="inlineStr">
        <is>
          <t>MF3668 - CAMBRIDGE MEDICAL &amp; REHABILITATION CENTRE L.L.C.</t>
        </is>
      </c>
    </row>
    <row r="2471">
      <c r="B2471" s="22" t="inlineStr">
        <is>
          <t>MF3657 - TABA SPECIALIST MEDICAL CENTER - L.L.C</t>
        </is>
      </c>
    </row>
    <row r="2472">
      <c r="B2472" s="22" t="inlineStr">
        <is>
          <t>MF3730 - GENTLE CARE HOME HEALTH CARE - SOLE PROPRIETORSHIP L.L.C.</t>
        </is>
      </c>
    </row>
    <row r="2473">
      <c r="B2473" s="22" t="inlineStr">
        <is>
          <t>MF3701 - AL REDA SPECIALIZED MEDICAL CENTER</t>
        </is>
      </c>
    </row>
    <row r="2474">
      <c r="B2474" s="22" t="inlineStr">
        <is>
          <t>MF3822 - ARAM MEDICAL CENTER L.L.C</t>
        </is>
      </c>
    </row>
    <row r="2475">
      <c r="B2475" s="22" t="inlineStr">
        <is>
          <t>MF3823 - THE DIAMOND MEDICAL HOSPITAL</t>
        </is>
      </c>
    </row>
    <row r="2476">
      <c r="B2476" s="22" t="inlineStr">
        <is>
          <t>MF3706 - FRENCH CLINICS MEDICAL AND DENTAL L.L.C. - BRANCH2</t>
        </is>
      </c>
    </row>
    <row r="2477">
      <c r="B2477" s="22" t="inlineStr">
        <is>
          <t>MF3611 - ALMANDOOB MEDICAL SERVICES- SOLE PROPRIETORSHIP L.L.C</t>
        </is>
      </c>
    </row>
    <row r="2478">
      <c r="B2478" s="22" t="inlineStr">
        <is>
          <t>MF3748 - ACUTE WATERFORD REHABILITATION HOSPITAL L.L.C</t>
        </is>
      </c>
    </row>
    <row r="2479">
      <c r="B2479" s="22" t="inlineStr">
        <is>
          <t>MF3803 - AL AHLI DAWN CENTRE ONE DAY SURGERY L.L.C.</t>
        </is>
      </c>
    </row>
    <row r="2480">
      <c r="B2480" s="22" t="inlineStr">
        <is>
          <t>MF3830 - Attouk Island Clinic</t>
        </is>
      </c>
    </row>
    <row r="2481">
      <c r="B2481" s="22" t="inlineStr">
        <is>
          <t xml:space="preserve">MF3649 - AL TIWAYYAH CHILDREN’S SPECIALTY CENTER </t>
        </is>
      </c>
    </row>
    <row r="2482">
      <c r="B2482" s="22" t="inlineStr">
        <is>
          <t>MF3752 - SUPER DENTAL CENTER - L.L.C</t>
        </is>
      </c>
    </row>
    <row r="2483">
      <c r="B2483" s="22" t="inlineStr">
        <is>
          <t>MF3795 - BURJ AL FALAH HEALTH SERVICES</t>
        </is>
      </c>
    </row>
    <row r="2484">
      <c r="B2484" s="22" t="inlineStr">
        <is>
          <t>MF3816 - ALTASAMOUH HOSPITAL</t>
        </is>
      </c>
    </row>
    <row r="2485">
      <c r="B2485" s="22" t="inlineStr">
        <is>
          <t>MF3777 - LIFE MEDICAL CENTRE</t>
        </is>
      </c>
    </row>
    <row r="2486">
      <c r="B2486" s="22" t="inlineStr">
        <is>
          <t>MF3778 - JORDANIAN SPEECH CLINIC FOR SPEECH THERAPY &amp; LEARNING DISABILITIES L.L.C</t>
        </is>
      </c>
    </row>
    <row r="2487">
      <c r="B2487" s="22" t="inlineStr">
        <is>
          <t>MF3790 - EMIRATES AUDIOLOGY CENTRE - L.L.C - O.P.C</t>
        </is>
      </c>
    </row>
    <row r="2488">
      <c r="B2488" s="22" t="inlineStr">
        <is>
          <t>MF3879 - DAR AL SHIFAA SPECIALITY HOSPITAL L.L.C</t>
        </is>
      </c>
    </row>
    <row r="2489">
      <c r="B2489" s="22" t="inlineStr">
        <is>
          <t>MF3833 - FLORENC BRITISH HOSPITAL L.L.C.</t>
        </is>
      </c>
    </row>
    <row r="2490">
      <c r="B2490" s="22" t="inlineStr">
        <is>
          <t>MF3868 - OMEGA MEDICAL CENTER L.L.C</t>
        </is>
      </c>
    </row>
    <row r="2491">
      <c r="B2491" s="22" t="inlineStr">
        <is>
          <t>MF3909 - MEDICA HEALTHCARE SERVICES L.L.C.</t>
        </is>
      </c>
    </row>
    <row r="2492">
      <c r="B2492" s="22" t="inlineStr">
        <is>
          <t>MF3914 -  NIGHTINGALE HOME HEALTH CARE L.L.C - S.P.C</t>
        </is>
      </c>
    </row>
    <row r="2493">
      <c r="B2493" s="22" t="inlineStr">
        <is>
          <t>MF3918 - EMERALD MEDICAL CENTRE L.L.C</t>
        </is>
      </c>
    </row>
    <row r="2494">
      <c r="B2494" s="22" t="inlineStr">
        <is>
          <t>MF4241 - UAE UNIVERSITY CLINICS - BRANCH 2</t>
        </is>
      </c>
    </row>
    <row r="2495">
      <c r="B2495" s="22" t="inlineStr">
        <is>
          <t>MF3950 - EMIRATES UNION MEDICAL CLINIC L.L.C.</t>
        </is>
      </c>
    </row>
    <row r="2496">
      <c r="B2496" s="22" t="inlineStr">
        <is>
          <t>MF3942 - BIOLIFE MEDICAL CENTER - L.L.C - O.P.C</t>
        </is>
      </c>
    </row>
    <row r="2497">
      <c r="B2497" s="22" t="inlineStr">
        <is>
          <t>MF3952 - Paramount Medical Services</t>
        </is>
      </c>
    </row>
    <row r="2498">
      <c r="B2498" s="22" t="inlineStr">
        <is>
          <t>MF3962 - EXCELLENCY GHAYATHI POLY CLINICS L.L.C</t>
        </is>
      </c>
    </row>
    <row r="2499">
      <c r="B2499" s="22" t="inlineStr">
        <is>
          <t>MF3836 - BAYTI HOME HEALTHCARE L.L.C</t>
        </is>
      </c>
    </row>
    <row r="2500">
      <c r="B2500" s="22" t="inlineStr">
        <is>
          <t>MF4041 - ATLANTA VISION CLINIC L.L.C – BRANCH OF ABU DHABI 1</t>
        </is>
      </c>
    </row>
    <row r="2501">
      <c r="B2501" s="22" t="inlineStr">
        <is>
          <t>MF3986 - THE HEALTH CARE MEDICAL SERVICES</t>
        </is>
      </c>
    </row>
    <row r="2502">
      <c r="B2502" s="22" t="inlineStr">
        <is>
          <t>MF3980 - MEDICAL EXCELLENCE JAPAN - ABU DHABI</t>
        </is>
      </c>
    </row>
    <row r="2503">
      <c r="B2503" s="22" t="inlineStr">
        <is>
          <t>MF3987 - AMRITA MEDICAL CENTRE - BRANCH 1</t>
        </is>
      </c>
    </row>
    <row r="2504">
      <c r="B2504" s="22" t="inlineStr">
        <is>
          <t>MF3984 - EMIRATES DERMATOLOGY &amp; COSMETOLOGY CENTER - SOLE PROPRIETORSHIP L.L.C.</t>
        </is>
      </c>
    </row>
    <row r="2505">
      <c r="B2505" s="22" t="inlineStr">
        <is>
          <t>MF4043 - NEW AL AIN MEDICAL CLINICS CENTER LLC BRANCH 1</t>
        </is>
      </c>
    </row>
    <row r="2506">
      <c r="B2506" s="22" t="inlineStr">
        <is>
          <t>MF4049 - PETROFAC EMIRATES L.L.C CLINIC HABSHAN PROJECT - ADCO</t>
        </is>
      </c>
    </row>
    <row r="2507">
      <c r="B2507" s="22" t="inlineStr">
        <is>
          <t>MF4077 - FUTURE HORIZON HOME CARE SERVICES</t>
        </is>
      </c>
    </row>
    <row r="2508">
      <c r="B2508" s="22" t="inlineStr">
        <is>
          <t>MF4079 - AL KHAIR HIJAMA THERAPY CENTRE</t>
        </is>
      </c>
    </row>
    <row r="2509">
      <c r="B2509" s="22" t="inlineStr">
        <is>
          <t>MF4110 - PRIMAVERA MEDICAL REHABILITATION LLC</t>
        </is>
      </c>
    </row>
    <row r="2510">
      <c r="B2510" s="22" t="inlineStr">
        <is>
          <t xml:space="preserve">MF4111 - ALDHAFRA MEDICAL CENTRE
</t>
        </is>
      </c>
    </row>
    <row r="2511">
      <c r="B2511" s="22" t="inlineStr">
        <is>
          <t>MF4115 - TOP CARE MEDICAL CENTER- BRANCH 1</t>
        </is>
      </c>
    </row>
    <row r="2512">
      <c r="B2512" s="22" t="inlineStr">
        <is>
          <t xml:space="preserve">MF4121 - SUNDUS RECRUITMENT SERVICES L L C </t>
        </is>
      </c>
    </row>
    <row r="2513">
      <c r="B2513" s="22" t="inlineStr">
        <is>
          <t>MF4101 - HEALTH &amp; LIFE MEDICAL CENTER - BRANCH 3</t>
        </is>
      </c>
    </row>
    <row r="2514">
      <c r="B2514" s="22" t="inlineStr">
        <is>
          <t>MF4197 - AL MANHAL HEALTHCARE CENTER</t>
        </is>
      </c>
    </row>
    <row r="2515">
      <c r="B2515" s="22" t="inlineStr">
        <is>
          <t>MF4171 - TOP HEALTH MEDICAL SERVICES</t>
        </is>
      </c>
    </row>
    <row r="2516">
      <c r="B2516" s="22" t="inlineStr">
        <is>
          <t>MF4137 - COVENT GARDEN SKIN CLINIC</t>
        </is>
      </c>
    </row>
    <row r="2517">
      <c r="B2517" s="22" t="inlineStr">
        <is>
          <t>MF4161 - FAKIH IVF FERTILITY CENTER LTD BRANCH 3</t>
        </is>
      </c>
    </row>
    <row r="2518">
      <c r="B2518" s="22" t="inlineStr">
        <is>
          <t>MF4139 - RAJA SWAID ORTHODONTIC CLINIC L.L.C</t>
        </is>
      </c>
    </row>
    <row r="2519">
      <c r="B2519" s="22" t="inlineStr">
        <is>
          <t>MF4232 - PARAMOUNT CLINICS L.L.C</t>
        </is>
      </c>
    </row>
    <row r="2520">
      <c r="B2520" s="22" t="inlineStr">
        <is>
          <t>MF4213 - MEDICAL PARK CONSULTANTS ONE DAY SURGERY CENTER L.L.C</t>
        </is>
      </c>
    </row>
    <row r="2521">
      <c r="B2521" s="22" t="inlineStr">
        <is>
          <t>MF4210 - SULTAN MEDICAL CENTRE - BRANCH 1</t>
        </is>
      </c>
    </row>
    <row r="2522">
      <c r="B2522" s="22" t="inlineStr">
        <is>
          <t>MF4883 - ROYAL CARE MEDICAL CENTER - BRANCH2</t>
        </is>
      </c>
    </row>
    <row r="2523">
      <c r="B2523" s="22" t="inlineStr">
        <is>
          <t>MF4329 - LIFE HOME MEDICAL &amp; HOME CARE CENTER</t>
        </is>
      </c>
    </row>
    <row r="2524">
      <c r="B2524" s="22" t="inlineStr">
        <is>
          <t>MF4238 - CARE PLUS MEDICAL CENTRE LLC</t>
        </is>
      </c>
    </row>
    <row r="2525">
      <c r="B2525" s="22" t="inlineStr">
        <is>
          <t>MF4334 - MANILA MEDICAL COMPLEX - L.L.C - S.P.C</t>
        </is>
      </c>
    </row>
    <row r="2526">
      <c r="B2526" s="22" t="inlineStr">
        <is>
          <t>MF4255 - LIBERTY DENTAL CLINIC - L.L.C - S.P.C</t>
        </is>
      </c>
    </row>
    <row r="2527">
      <c r="B2527" s="22" t="inlineStr">
        <is>
          <t>MF4254 - ASTER GRACE NURSING AND PHYSIOTHERAPY LLC</t>
        </is>
      </c>
    </row>
    <row r="2528">
      <c r="B2528" s="22" t="inlineStr">
        <is>
          <t>MF4363 - AL FREEJ MEDICAL HOME CARE</t>
        </is>
      </c>
    </row>
    <row r="2529">
      <c r="B2529" s="22" t="inlineStr">
        <is>
          <t>MF5018 - ENAYATI HOME HEALTH CARE CENTER L.L.C - BRANCH OF ABU DHABI 1</t>
        </is>
      </c>
    </row>
    <row r="2530">
      <c r="B2530" s="22" t="inlineStr">
        <is>
          <t>MF4131 - HEALTH &amp; LIFE MEDICAL CENTER - BRANCH 1</t>
        </is>
      </c>
    </row>
    <row r="2531">
      <c r="B2531" s="22" t="inlineStr">
        <is>
          <t>MF4277 - WEST ISLAND CLINIC</t>
        </is>
      </c>
    </row>
    <row r="2532">
      <c r="B2532" s="22" t="inlineStr">
        <is>
          <t>MF4409 - TABIBOOK HEALTH CARE  SERVECES</t>
        </is>
      </c>
    </row>
    <row r="2533">
      <c r="B2533" s="22" t="inlineStr">
        <is>
          <t>MF4357 - ROYAL INTERNATIONAL MEDICAL CENTER - SOLE PROPRIETORSHIP L.L.C</t>
        </is>
      </c>
    </row>
    <row r="2534">
      <c r="B2534" s="22" t="inlineStr">
        <is>
          <t>MF4472 - PYRAMIDS DIALYSIS CENTER L.L.C</t>
        </is>
      </c>
    </row>
    <row r="2535">
      <c r="B2535" s="22" t="inlineStr">
        <is>
          <t>MF4536 - SAA TECHNICAL &amp; SPEICIALIZED SERVICES ESTABLISHMENT</t>
        </is>
      </c>
    </row>
    <row r="2536">
      <c r="B2536" s="22" t="inlineStr">
        <is>
          <t>MF4560 - ROYAL HOME MEDICAL HOME AND HEALTH CARE CENTER</t>
        </is>
      </c>
    </row>
    <row r="2537">
      <c r="B2537" s="22" t="inlineStr">
        <is>
          <t>MF4529 - HAPPY LIFE HOME HEALTH CARE - SOLE PROPRIETORSHIP L.L.C.</t>
        </is>
      </c>
    </row>
    <row r="2538">
      <c r="B2538" s="22" t="inlineStr">
        <is>
          <t>MF4578 - DR RABAH ALI AL MAHMOUD CHILDRENS MEDICAL CENTRE</t>
        </is>
      </c>
    </row>
    <row r="2539">
      <c r="B2539" s="22" t="inlineStr">
        <is>
          <t>MF4625 - NURSECO HOME HEALTH CARE L.L.C - BRANCH OF ABU DHABI 1</t>
        </is>
      </c>
    </row>
    <row r="2540">
      <c r="B2540" s="22" t="inlineStr">
        <is>
          <t>MF4656 - BASISO DENTAL CENTER L.L.C - BRANCH 2</t>
        </is>
      </c>
    </row>
    <row r="2541">
      <c r="B2541" s="22" t="inlineStr">
        <is>
          <t>MF4619 - TAJMEEL ROYAL DENTAL CLINIC L.L.C.</t>
        </is>
      </c>
    </row>
    <row r="2542">
      <c r="B2542" s="22" t="inlineStr">
        <is>
          <t xml:space="preserve">MF4750 - GROUP EXPRESS FACILITIES MANAGEMENT SERVICES </t>
        </is>
      </c>
    </row>
    <row r="2543">
      <c r="B2543" s="22" t="inlineStr">
        <is>
          <t>MF4738 - UNIVERSAL HOSPITAL ONE DAY SURGERY L.L.C</t>
        </is>
      </c>
    </row>
    <row r="2544">
      <c r="B2544" s="22" t="inlineStr">
        <is>
          <t>MF4670 - AFAQ MEDICAL HEALTH CENTRE  L.L.C.</t>
        </is>
      </c>
    </row>
    <row r="2545">
      <c r="B2545" s="22" t="inlineStr">
        <is>
          <t>MF4689 - TEC ELIXIR MEDICAL CENTRE - L.L.C - S.P.C</t>
        </is>
      </c>
    </row>
    <row r="2546">
      <c r="B2546" s="22" t="inlineStr">
        <is>
          <t>MF4712 - JABAL AL DHANA 1 CLINIC</t>
        </is>
      </c>
    </row>
    <row r="2547">
      <c r="B2547" s="22" t="inlineStr">
        <is>
          <t>MF4868 - HUMAN TOUCH HEALTH MANAGEMENT</t>
        </is>
      </c>
    </row>
    <row r="2548">
      <c r="B2548" s="22" t="inlineStr">
        <is>
          <t>MF4518 - PRIDE MEDICAL CENTER - SOLE PROPRIETORSHIP L.L.C.</t>
        </is>
      </c>
    </row>
    <row r="2549">
      <c r="B2549" s="22" t="inlineStr">
        <is>
          <t>MF4737 - CARE POINT CLINIC- L.L.C</t>
        </is>
      </c>
    </row>
    <row r="2550">
      <c r="B2550" s="22" t="inlineStr">
        <is>
          <t>MF4756 - AL MADINA AGENCIES &amp; SERVICES</t>
        </is>
      </c>
    </row>
    <row r="2551">
      <c r="B2551" s="22" t="inlineStr">
        <is>
          <t>MF4783 - GULF AUTISM CENTRE</t>
        </is>
      </c>
    </row>
    <row r="2552">
      <c r="B2552" s="22" t="inlineStr">
        <is>
          <t>MF4781 - FAST AMBULANCE SERVICE L.L.C</t>
        </is>
      </c>
    </row>
    <row r="2553">
      <c r="B2553" s="22" t="inlineStr">
        <is>
          <t>MF4825 - SEHATY MOBILE MEDICALUNIT OWNED BY IBRAHIM ABDULNOOR ALZAROONI - SOLE PROPRIETORSHIP L.L.C</t>
        </is>
      </c>
    </row>
    <row r="2554">
      <c r="B2554" s="22" t="inlineStr">
        <is>
          <t>MF4867 - EXPERT HOSPITAL MANGMENT</t>
        </is>
      </c>
    </row>
    <row r="2555">
      <c r="B2555" s="22" t="inlineStr">
        <is>
          <t>MF4856 - FIRST CURE MEDICAL CLINIC OWEND BY KHALED BADER AL SAIARY - SOLE PROPRIETORSHIP L.L.C</t>
        </is>
      </c>
    </row>
    <row r="2556">
      <c r="B2556" s="22" t="inlineStr">
        <is>
          <t>MF4866 - NAHDAT AL TAMAYUZ TRAINING &amp; CONFERENCES CENTRE</t>
        </is>
      </c>
    </row>
    <row r="2557">
      <c r="B2557" s="22" t="inlineStr">
        <is>
          <t>MF4843 -  TABIBAK MEDICAL CENTER - L.L.C - S.P.C</t>
        </is>
      </c>
    </row>
    <row r="2558">
      <c r="B2558" s="22" t="inlineStr">
        <is>
          <t>MF4458 - MIND MAPS MEDICAL CENTER</t>
        </is>
      </c>
    </row>
    <row r="2559">
      <c r="B2559" s="22" t="inlineStr">
        <is>
          <t>MF4845 - HOPE FERTILITY CLINIC</t>
        </is>
      </c>
    </row>
    <row r="2560">
      <c r="B2560" s="22" t="inlineStr">
        <is>
          <t>MF4926 - NOOR ALAHLI MEDICAL CENTER L.L.C. - BRANCH 4</t>
        </is>
      </c>
    </row>
    <row r="2561">
      <c r="B2561" s="22" t="inlineStr">
        <is>
          <t>MF4956 - MOON LIFE MEDICAL CENTER</t>
        </is>
      </c>
    </row>
    <row r="2562">
      <c r="B2562" s="22" t="inlineStr">
        <is>
          <t>MF4969 - HEALTH PLUS FAMILY HEALTH CENTER L.L.C- BRANCH 1</t>
        </is>
      </c>
    </row>
    <row r="2563">
      <c r="B2563" s="22" t="inlineStr">
        <is>
          <t>MF4988 - SEHAT AL MUJTAMAA MOBILE CLINIC OWNED ADEL AL SHAMRY - SOLE PROPRIETORSHIP L.L.C</t>
        </is>
      </c>
    </row>
    <row r="2564">
      <c r="B2564" s="22" t="inlineStr">
        <is>
          <t xml:space="preserve">MF5083 - TIME CURE MEDICAL CENTER </t>
        </is>
      </c>
    </row>
    <row r="2565">
      <c r="B2565" s="22" t="inlineStr">
        <is>
          <t>MF5060 - IZDIHAR DENTAL CENTER L.L.C</t>
        </is>
      </c>
    </row>
    <row r="2566">
      <c r="B2566" s="22" t="inlineStr">
        <is>
          <t>MF5052 - UNIQUE PRIMARY HEALTH CARE CENTRE LLC</t>
        </is>
      </c>
    </row>
    <row r="2567">
      <c r="B2567" s="22" t="inlineStr">
        <is>
          <t>MF4762 - KOHAT VALLEY  MEDICAL CENTRE L.L.C</t>
        </is>
      </c>
    </row>
    <row r="2568">
      <c r="B2568" s="22" t="inlineStr">
        <is>
          <t>MF5114 - HEALTHPARK MEDICAL CLINIC L.L.C</t>
        </is>
      </c>
    </row>
    <row r="2569">
      <c r="B2569" s="22" t="inlineStr">
        <is>
          <t>MF5108 - NMC ROYAL MEDICAL CLINIC LLC</t>
        </is>
      </c>
    </row>
    <row r="2570">
      <c r="B2570" s="22" t="inlineStr">
        <is>
          <t>MF5140 - STAR CARE MEDICAL CLINIC OWNED BY IBRAHIM ABDULNOOR ALZAROONI - SOLE PROPRIETORSHIP L.L.C</t>
        </is>
      </c>
    </row>
    <row r="2571">
      <c r="B2571" s="22" t="inlineStr">
        <is>
          <t>MF5200 - SILKOR LASER AND COSMETIC SURGERY L.L.C</t>
        </is>
      </c>
    </row>
    <row r="2572">
      <c r="B2572" s="22" t="inlineStr">
        <is>
          <t>MF5163 - ADAM &amp; EVE SPECIALIZED MEDICAL CENTRE L.L.C. - BRANCH</t>
        </is>
      </c>
    </row>
    <row r="2573">
      <c r="B2573" s="22" t="inlineStr">
        <is>
          <t>MF5156 - AL OMNEYA AL BAYDAA MEDICAL CENTER</t>
        </is>
      </c>
    </row>
    <row r="2574">
      <c r="B2574" s="22" t="inlineStr">
        <is>
          <t>MF5167 - AL AIN CLUB MEDICAL CENTER</t>
        </is>
      </c>
    </row>
    <row r="2575">
      <c r="B2575" s="22" t="inlineStr">
        <is>
          <t>MF5179 - AL DAR EXTRA MEDICAL CENTER</t>
        </is>
      </c>
    </row>
    <row r="2576">
      <c r="B2576" s="22" t="inlineStr">
        <is>
          <t>MF5198 - ALBARAKA MEDICAL CLINIC OWEND BY IBRAHIM ABDULNOOR ALZAROONI - SOLE PROPRIETORSIHP L.L.C. - SOLE PRO</t>
        </is>
      </c>
    </row>
    <row r="2577">
      <c r="B2577" s="22" t="inlineStr">
        <is>
          <t>MF5223 - LLH MEDICAL CENTRE ALNAJDA - L.L.C</t>
        </is>
      </c>
    </row>
    <row r="2578">
      <c r="B2578" s="22" t="inlineStr">
        <is>
          <t>MF5203 - GALAXY MEDICAL CENTER</t>
        </is>
      </c>
    </row>
    <row r="2579">
      <c r="B2579" s="22" t="inlineStr">
        <is>
          <t>MF5215 - YOUR HEALTH MEDICAL CENTER</t>
        </is>
      </c>
    </row>
    <row r="2580">
      <c r="B2580" s="22" t="inlineStr">
        <is>
          <t>MF5313 - LLH MEDICAL CENTRE AL MUSAFFAH L.L.C - BRANCH 2</t>
        </is>
      </c>
    </row>
    <row r="2581">
      <c r="B2581" s="22" t="inlineStr">
        <is>
          <t>MF5310 - PRISTINE DENTAL CLINIC</t>
        </is>
      </c>
    </row>
    <row r="2582">
      <c r="B2582" s="22" t="inlineStr">
        <is>
          <t>MF5253 - EMIRATES EUROPEAN HEALTHCARE L.L.C</t>
        </is>
      </c>
    </row>
    <row r="2583">
      <c r="B2583" s="22" t="inlineStr">
        <is>
          <t>MF4523 - AARIYA HEALTH CONSULTANCY  L.L.C.</t>
        </is>
      </c>
    </row>
    <row r="2584">
      <c r="B2584" s="22" t="inlineStr">
        <is>
          <t>MF5344 - INFINITY TECHNOLOGY DENTAL LABORATORY - SOLE PROPRIETORSHIP L.L.C</t>
        </is>
      </c>
    </row>
    <row r="2585">
      <c r="B2585" s="22" t="inlineStr">
        <is>
          <t>MF5374 - SPARK MAINTENANCE &amp; OIL-FIELD SERVICES ESTABLISHMENT</t>
        </is>
      </c>
    </row>
    <row r="2586">
      <c r="B2586" s="22" t="inlineStr">
        <is>
          <t>MF5369 - SAFE STEPS HOME HEALTH CARE CENTER</t>
        </is>
      </c>
    </row>
    <row r="2587">
      <c r="B2587" s="22" t="inlineStr">
        <is>
          <t>MF5388 - AL MANSOOR ENTERPRISES L L C</t>
        </is>
      </c>
    </row>
    <row r="2588">
      <c r="B2588" s="22" t="inlineStr">
        <is>
          <t xml:space="preserve">MF5390 - ALBADIA HOME HEALTH CARE </t>
        </is>
      </c>
    </row>
    <row r="2589">
      <c r="B2589" s="22" t="inlineStr">
        <is>
          <t>MF5406 - BEST CHOICE FOR NURSE TRAINING L.L.C.</t>
        </is>
      </c>
    </row>
    <row r="2590">
      <c r="B2590" s="22" t="inlineStr">
        <is>
          <t>MF5405 - ARABIAN BUSINESS CENTER FOR RECRUITMENT SERVICES  L.L.C.</t>
        </is>
      </c>
    </row>
    <row r="2591">
      <c r="B2591" s="22" t="inlineStr">
        <is>
          <t>MF4221 - LABELLE MEDICAL CENTER L L C - SOLE PROPRIETORSHIP L.L.C.</t>
        </is>
      </c>
    </row>
    <row r="2592">
      <c r="B2592" s="22" t="inlineStr">
        <is>
          <t>MF5427 - ILLC MEDICAL CLINIC - SOLE PROPRIETORSHIP L.L.C.</t>
        </is>
      </c>
    </row>
    <row r="2593">
      <c r="B2593" s="22" t="inlineStr">
        <is>
          <t>MF4173 - ALTOMOH MEDICAL CENTER - SOLE PROPRIETORSHIP L.L.C.</t>
        </is>
      </c>
    </row>
    <row r="2594">
      <c r="B2594" s="22" t="inlineStr">
        <is>
          <t>MF5463 - ALWAJIB HOME HEALTH CENTRE - SOLE PROPRIETORSHIP L.L.C.</t>
        </is>
      </c>
    </row>
    <row r="2595">
      <c r="B2595" s="22" t="inlineStr">
        <is>
          <t>MF5436 - GOLDEN EAGLE MEDICAL FACILITIES MANAGEMENT  L.L.C.</t>
        </is>
      </c>
    </row>
    <row r="2596">
      <c r="B2596" s="22" t="inlineStr">
        <is>
          <t>MF2546 - AL HADAF AL WADIH HEALTH SERVICES - SOLE PROPRIETORSHIP L.L.C.</t>
        </is>
      </c>
    </row>
    <row r="2597">
      <c r="B2597" s="22" t="inlineStr">
        <is>
          <t xml:space="preserve">MF5477 - ABUDHABI AUTISM CENTER </t>
        </is>
      </c>
    </row>
    <row r="2598">
      <c r="B2598" s="22" t="inlineStr">
        <is>
          <t>MF5479 - ALJASMIN HEALTH SERVICES - SOLE PROPRIETORSHIP L.L.C</t>
        </is>
      </c>
    </row>
    <row r="2599">
      <c r="B2599" s="22" t="inlineStr">
        <is>
          <t>MF5497 - SPARKLE MANAGEMENT MEDICAL FACILITIES</t>
        </is>
      </c>
    </row>
    <row r="2600">
      <c r="B2600" s="22" t="inlineStr">
        <is>
          <t>MF4828 - CANADIAN MEDICAL CENTER LLC - BRANCH 1</t>
        </is>
      </c>
    </row>
    <row r="2601">
      <c r="B2601" s="22" t="inlineStr">
        <is>
          <t>MF5519 - TERRACOTTA INTERNATIONAL EMPLOYMENT SERVICES</t>
        </is>
      </c>
    </row>
    <row r="2602">
      <c r="B2602" s="22" t="inlineStr">
        <is>
          <t>MF5508 - MEMO DIAGNOSTIC MEDICAL CENTER L.L.C</t>
        </is>
      </c>
    </row>
    <row r="2603">
      <c r="B2603" s="22" t="inlineStr">
        <is>
          <t>MF5515 - ENAYA HOME NURSING SERVICES BRANCH - BRANCH OF ABU DHABI 1</t>
        </is>
      </c>
    </row>
    <row r="2604">
      <c r="B2604" s="22" t="inlineStr">
        <is>
          <t>MF5527 - Abu Dhabi Stem Cells Center - L.L.C</t>
        </is>
      </c>
    </row>
    <row r="2605">
      <c r="B2605" s="22" t="inlineStr">
        <is>
          <t>MF5561 - AL KARAMAH SCHOOL REHABILITATION CENTRE</t>
        </is>
      </c>
    </row>
    <row r="2606">
      <c r="B2606" s="22" t="inlineStr">
        <is>
          <t>MF5617 - AURA AESTHETICS MEDICAL CENTE - L.L.C - S.P.C</t>
        </is>
      </c>
    </row>
    <row r="2607">
      <c r="B2607" s="22" t="inlineStr">
        <is>
          <t>MF325 - MAHBOOB MEDICAL CENTER</t>
        </is>
      </c>
    </row>
    <row r="2608">
      <c r="B2608" s="22" t="inlineStr">
        <is>
          <t>MF366 - LAHORE MEDICAL CENTRE - SOLE PROPRIETORSHIP L.L.C</t>
        </is>
      </c>
    </row>
    <row r="2609">
      <c r="B2609" s="22" t="inlineStr">
        <is>
          <t>MF5632 - EUREKA GULF MEDICAL CENTER L.L.C.</t>
        </is>
      </c>
    </row>
    <row r="2610">
      <c r="B2610" s="22" t="inlineStr">
        <is>
          <t>MF5663 - ATHEER MEDICAL CENTER - SOLE PROPRIETORSHIP L.L.C.</t>
        </is>
      </c>
    </row>
    <row r="2611">
      <c r="B2611" s="22" t="inlineStr">
        <is>
          <t>MF5652 - THMS MEDICAL SERVICES</t>
        </is>
      </c>
    </row>
    <row r="2612">
      <c r="B2612" s="22" t="inlineStr">
        <is>
          <t>MF5677 - GENIUS DENTAL LAB-L.L.C-O.P.C</t>
        </is>
      </c>
    </row>
    <row r="2613">
      <c r="B2613" s="22" t="inlineStr">
        <is>
          <t>MF4039 - AL JOUD HEALTH CARE L.L.C.</t>
        </is>
      </c>
    </row>
    <row r="2614">
      <c r="B2614" s="22" t="inlineStr">
        <is>
          <t>MF4806 - BOULEVARD MEDICAL CENTRE L.L.C.</t>
        </is>
      </c>
    </row>
    <row r="2615">
      <c r="B2615" s="22" t="inlineStr">
        <is>
          <t>MF4335 - KHAYBAR WAZIRISTAN MEDICAL CENTER  - SOLE PROPRIETORSHIP L.L.C.</t>
        </is>
      </c>
    </row>
    <row r="2616">
      <c r="B2616" s="22" t="inlineStr">
        <is>
          <t>MF5730 - Spanish Medical Center-Sole proprietorship LLC</t>
        </is>
      </c>
    </row>
    <row r="2617">
      <c r="B2617" s="22" t="inlineStr">
        <is>
          <t>MF5695 - CAPITAL MEDICAL CENTRE FOR HEALTH SCREENING - L.L.C - O.P.C - BRANCH.</t>
        </is>
      </c>
    </row>
    <row r="2618">
      <c r="B2618" s="22" t="inlineStr">
        <is>
          <t>MF5720 - Cosmetic Art Dental Center - Sole Proprietorship L.L.C</t>
        </is>
      </c>
    </row>
    <row r="2619">
      <c r="B2619" s="22" t="inlineStr">
        <is>
          <t>MF5722 - SUPREME MEDICAL CENTER.</t>
        </is>
      </c>
    </row>
    <row r="2620">
      <c r="B2620" s="22" t="inlineStr">
        <is>
          <t>MF5745 - LLH CLINIC  L.L.C.</t>
        </is>
      </c>
    </row>
    <row r="2621">
      <c r="B2621" s="22" t="inlineStr">
        <is>
          <t>MF5719 - 1 FERTICLINIC HOME CARE CENTRE L.L.C.</t>
        </is>
      </c>
    </row>
    <row r="2622">
      <c r="B2622" s="22" t="inlineStr">
        <is>
          <t>MF5732 - CHINA PETROLEUM ENGINEERING &amp; CONSTRUCTION  CORPORATION-ABU DHABI</t>
        </is>
      </c>
    </row>
    <row r="2623">
      <c r="B2623" s="22" t="inlineStr">
        <is>
          <t>MF5742 - CROWN HOSPITAL ONE DAY SURGERY - SOLE PROPRIETORSHIP L.L.C.</t>
        </is>
      </c>
    </row>
    <row r="2624">
      <c r="B2624" s="22" t="inlineStr">
        <is>
          <t>MF5290 - AL BALSAM MEDICAL CENTER L.L.C.</t>
        </is>
      </c>
    </row>
    <row r="2625">
      <c r="B2625" s="22" t="inlineStr">
        <is>
          <t>MF5683 - AL HAYAT MEDICAL TRAINING AND AMBULANCE SERVICES - BRANCH</t>
        </is>
      </c>
    </row>
    <row r="2626">
      <c r="B2626" s="22" t="inlineStr">
        <is>
          <t>MF7031 - THE SPANISH SCHOOL OF ABU DHABI CLINIC</t>
        </is>
      </c>
    </row>
    <row r="2627">
      <c r="B2627" s="22" t="inlineStr">
        <is>
          <t>MF7040 - City Smile Dental Center LLC</t>
        </is>
      </c>
    </row>
    <row r="2628">
      <c r="B2628" s="22" t="inlineStr">
        <is>
          <t>MF7095 - NOATUM LOGISTICS MIDDLE EAST - L.L.C- O.P. C</t>
        </is>
      </c>
    </row>
    <row r="2629">
      <c r="B2629" s="22" t="inlineStr">
        <is>
          <t>MF7100 - Sas Al Nakhl Clinic - 2</t>
        </is>
      </c>
    </row>
    <row r="2630">
      <c r="B2630" s="22" t="inlineStr">
        <is>
          <t>MF7096 - INTELLIGENT MEDICAL LABORATORY L.L.C.</t>
        </is>
      </c>
    </row>
    <row r="2631">
      <c r="B2631" s="22" t="inlineStr">
        <is>
          <t>MF7102 - CADY ROYAL MEDICAL CENTER - BRANCH OF ABU DHABI 1</t>
        </is>
      </c>
    </row>
    <row r="2632">
      <c r="B2632" s="22" t="inlineStr">
        <is>
          <t>MF7516 - Eye Boutique</t>
        </is>
      </c>
    </row>
    <row r="2633">
      <c r="B2633" s="22" t="inlineStr">
        <is>
          <t>MF7107 - AL HILAL HOURI MEDICAL EQUIPMENT L.L.C.</t>
        </is>
      </c>
    </row>
    <row r="2634">
      <c r="B2634" s="22" t="inlineStr">
        <is>
          <t>MF7121 - Tolerance schools-Baniyas West</t>
        </is>
      </c>
    </row>
    <row r="2635">
      <c r="B2635" s="22" t="inlineStr">
        <is>
          <t>MF7136 - AL AIN UNIVERSITY L.L.C. - BRANCH CLINIC</t>
        </is>
      </c>
    </row>
    <row r="2636">
      <c r="B2636" s="22" t="inlineStr">
        <is>
          <t>MF7144 - RIVOLI EYE ZONE (BRANCH OF MAGRABI OPTICAL COMPANY (L.L.C) - BRANCH OF ABU DHABI - YAS MALL 2</t>
        </is>
      </c>
    </row>
    <row r="2637">
      <c r="B2637" s="22" t="inlineStr">
        <is>
          <t>MF7167 - VINTAGE OPTICS</t>
        </is>
      </c>
    </row>
    <row r="2638">
      <c r="B2638" s="22" t="inlineStr">
        <is>
          <t>MF7168 - GH MEDICAL CLINIC L.L.C.</t>
        </is>
      </c>
    </row>
    <row r="2639">
      <c r="B2639" s="22" t="inlineStr">
        <is>
          <t>MF7173 - BURJEEL QUICK CLINIC L.L.C.</t>
        </is>
      </c>
    </row>
    <row r="2640">
      <c r="B2640" s="22" t="inlineStr">
        <is>
          <t>MF7191 - E R X THE PRESCRIPTIONS HUB MEDICATIONS DELIVERY L.L.C</t>
        </is>
      </c>
    </row>
    <row r="2641">
      <c r="B2641" s="22" t="inlineStr">
        <is>
          <t>MF7194 - DIMS MEDICAL SERVICES - SOLE PROPRIETORSHIP L.L.C.</t>
        </is>
      </c>
    </row>
    <row r="2642">
      <c r="B2642" s="22" t="inlineStr">
        <is>
          <t>MF7202 - INTERNATIONAL COMMUNITY SCHOOLS L.L.C. - BRANCH</t>
        </is>
      </c>
    </row>
    <row r="2643">
      <c r="B2643" s="22" t="inlineStr">
        <is>
          <t>MF7216 - TEDDYS INN NURSERY - SOLE PROPRIETORSHIP L.L.C.</t>
        </is>
      </c>
    </row>
    <row r="2644">
      <c r="B2644" s="22" t="inlineStr">
        <is>
          <t>MF7220 - ALMA HEALTH CARE - SOLE PROPRIETORSHIP L.L.C</t>
        </is>
      </c>
    </row>
    <row r="2645">
      <c r="B2645" s="22" t="inlineStr">
        <is>
          <t>MF7231 - TRUE LIFE PRIMARY CARE CENTER - SOLE PROPRIETORSHIP L.L.C. - BRANCH</t>
        </is>
      </c>
    </row>
    <row r="2646">
      <c r="B2646" s="22" t="inlineStr">
        <is>
          <t>MF7251 - Northern Offshore Drilling Operations LTD Energy Emerger Clinic</t>
        </is>
      </c>
    </row>
    <row r="2647">
      <c r="B2647" s="22" t="inlineStr">
        <is>
          <t>MF7291 - HEALTHY FOLKS MEDICAL CENTER L.L.C.</t>
        </is>
      </c>
    </row>
    <row r="2648">
      <c r="B2648" s="22" t="inlineStr">
        <is>
          <t>MF7293 - AL JIMI MEDICAL POLYCLINICS L.L.C. - BRANCH</t>
        </is>
      </c>
    </row>
    <row r="2649">
      <c r="B2649" s="22" t="inlineStr">
        <is>
          <t>MF7310 - SPRUCE SUNGLASSES TRADING L.L.C - BRANCH OF ABU DHABI 5</t>
        </is>
      </c>
    </row>
    <row r="2650">
      <c r="B2650" s="22" t="inlineStr">
        <is>
          <t>MF7311 - MUBARAK BIN MOHAMMED SCHOOL - SOLE PROPRIETORSHIP L.L.C.</t>
        </is>
      </c>
    </row>
    <row r="2651">
      <c r="B2651" s="22" t="inlineStr">
        <is>
          <t>MF7315 - G42 LABORATORY L.L.C. - BRANCH.</t>
        </is>
      </c>
    </row>
    <row r="2652">
      <c r="B2652" s="22" t="inlineStr">
        <is>
          <t>MF220 - ABU DHABI DENTAL CENTER - L.L.C - S.P.C</t>
        </is>
      </c>
    </row>
    <row r="2653">
      <c r="B2653" s="22" t="inlineStr">
        <is>
          <t>MF7336 - ASPETAR DENTAL CLINIC - BRANCH</t>
        </is>
      </c>
    </row>
    <row r="2654">
      <c r="B2654" s="22" t="inlineStr">
        <is>
          <t>MF7094 - FOREVER WELLNESS MEDICAL CENTER - SOLE PROPRIETORSHIP L.L.C.</t>
        </is>
      </c>
    </row>
    <row r="2655">
      <c r="B2655" s="22" t="inlineStr">
        <is>
          <t>MF7348 - SHARMIN AKTER MEDICAL CENTER - L.L.C</t>
        </is>
      </c>
    </row>
    <row r="2656">
      <c r="B2656" s="22" t="inlineStr">
        <is>
          <t>MF7370 - Applied Technology High School-Al Ain Al Aqabyia Girls Clinic</t>
        </is>
      </c>
    </row>
    <row r="2657">
      <c r="B2657" s="22" t="inlineStr">
        <is>
          <t>MF7374 - Trojan General Contracting LLC</t>
        </is>
      </c>
    </row>
    <row r="2658">
      <c r="B2658" s="22" t="inlineStr">
        <is>
          <t xml:space="preserve">MF7300 - SPRUCE SUNGLASSES TRADING - BRANCH OF ABU DHABI </t>
        </is>
      </c>
    </row>
    <row r="2659">
      <c r="B2659" s="22" t="inlineStr">
        <is>
          <t>MF7440 - AL BUSTAN VIDAL DENTAL CENTER - L.L.C - S.P.C</t>
        </is>
      </c>
    </row>
    <row r="2660">
      <c r="B2660" s="22" t="inlineStr">
        <is>
          <t>MF7446 - MUHATHAA PHYSIOLOGY TREATMENT CENTRE L.L.C.</t>
        </is>
      </c>
    </row>
    <row r="2661">
      <c r="B2661" s="22" t="inlineStr">
        <is>
          <t>MF7458 - DESIGN TEC DENTAL LAB - SOLE PROPRIETORSHIP L L C</t>
        </is>
      </c>
    </row>
    <row r="2662">
      <c r="B2662" s="22" t="inlineStr">
        <is>
          <t>MF7462 - LIWA UNIVERSITY - L.L.C - S.P.C</t>
        </is>
      </c>
    </row>
    <row r="2663">
      <c r="B2663" s="22" t="inlineStr">
        <is>
          <t>MF7441 - Applied Technology High School Baniyas - Boys Clinic - Bani Yas Abu Dhabi</t>
        </is>
      </c>
    </row>
    <row r="2664">
      <c r="B2664" s="22" t="inlineStr">
        <is>
          <t>MF7175 - AL QOUA C2 BOYS</t>
        </is>
      </c>
    </row>
    <row r="2665">
      <c r="B2665" s="22" t="inlineStr">
        <is>
          <t>MF7482 - STUTTGART DENTAL LAB - L.L.C</t>
        </is>
      </c>
    </row>
    <row r="2666">
      <c r="B2666" s="22" t="inlineStr">
        <is>
          <t>MF4555 - BONE CARE ONE DAY SURGERY - L.L.C</t>
        </is>
      </c>
    </row>
    <row r="2667">
      <c r="B2667" s="22" t="inlineStr">
        <is>
          <t>MF4520 - ARABIAN SPECIALIST MEDICAL CENTER L.L.C</t>
        </is>
      </c>
    </row>
    <row r="2668">
      <c r="B2668" s="22" t="inlineStr">
        <is>
          <t>MF7505 - OXYGEN MEDICAL CENTER MEDICAL COMPLEX - L.L.C</t>
        </is>
      </c>
    </row>
    <row r="2669">
      <c r="B2669" s="22" t="inlineStr">
        <is>
          <t>MF7523 - AIN ALHAYAH PRIMARY HEALTH CARE</t>
        </is>
      </c>
    </row>
    <row r="2670">
      <c r="B2670" s="22" t="inlineStr">
        <is>
          <t>MF7541 - OWNAK HEALTHCARE SERVICES - SOLE PROPRIETORSHIP L.L.C.</t>
        </is>
      </c>
    </row>
    <row r="2671">
      <c r="B2671" s="22" t="inlineStr">
        <is>
          <t>MF7563 - OCEAN AMERICAN SCHOOL</t>
        </is>
      </c>
    </row>
    <row r="2672">
      <c r="B2672" s="22" t="inlineStr">
        <is>
          <t>MF7567 - OZONE CURE MEDICAL CENTER -L.L.C - S.P.C</t>
        </is>
      </c>
    </row>
    <row r="2673">
      <c r="B2673" s="22" t="inlineStr">
        <is>
          <t>MF7571 - DEPARTMENT OF FINANCE CLINIC</t>
        </is>
      </c>
    </row>
    <row r="2674">
      <c r="B2674" s="22" t="inlineStr">
        <is>
          <t>MF7572 - LENOX MEDICAL AND DENTAL CENTER - L.L.C</t>
        </is>
      </c>
    </row>
    <row r="2675">
      <c r="B2675" s="22" t="inlineStr">
        <is>
          <t>MF7574 - CROWN DERMA CLINIC - L.LC - S.P.C</t>
        </is>
      </c>
    </row>
    <row r="2676">
      <c r="B2676" s="22" t="inlineStr">
        <is>
          <t>MF7589 - DOCTOR KIBAR CLINIC - L.L.C - O.P.C</t>
        </is>
      </c>
    </row>
    <row r="2677">
      <c r="B2677" s="22" t="inlineStr">
        <is>
          <t>MF313 - WELL HEALTH MEDICAL CENTER L.L.C.</t>
        </is>
      </c>
    </row>
    <row r="2678">
      <c r="B2678" s="22" t="inlineStr">
        <is>
          <t>MF7597 - Khalifa Bin Zayed Al Awal School clinic</t>
        </is>
      </c>
    </row>
    <row r="2679">
      <c r="B2679" s="22" t="inlineStr">
        <is>
          <t>MF7606 - LE VUE OPTICALS - SOLE PROPRIETORSHIP L.L.C.</t>
        </is>
      </c>
    </row>
    <row r="2680">
      <c r="B2680" s="22" t="inlineStr">
        <is>
          <t>MF7624 - RIVA MEDICAL CENTER L.L.C.</t>
        </is>
      </c>
    </row>
    <row r="2681">
      <c r="B2681" s="22" t="inlineStr">
        <is>
          <t>MF7638 - Tarmeem Orthopedic Medical Centre - L.L.C - S.P.C</t>
        </is>
      </c>
    </row>
    <row r="2682">
      <c r="B2682" s="22" t="inlineStr">
        <is>
          <t>MF7664 - LENSKART OPTICAL TRADING L.L.C - BRANCH OF ABU DHABI 7</t>
        </is>
      </c>
    </row>
    <row r="2683">
      <c r="B2683" s="22" t="inlineStr">
        <is>
          <t>MF7677 - ACCURA MED MEDICAL CENTER - L.L.C - S.P.C</t>
        </is>
      </c>
    </row>
    <row r="2684">
      <c r="B2684" s="22" t="inlineStr">
        <is>
          <t>MF7675 - CANADIAN HEALTHCARE MEDICAL AND REHABILITATION HOSPITAL - SOLE PROPRIETORSHIP L.L.C.</t>
        </is>
      </c>
    </row>
    <row r="2685">
      <c r="B2685" s="22" t="inlineStr">
        <is>
          <t>MF7693 - MARYAM BINT OMRAN SCHOOL - SOLE PROPRIETORSHIP L.L.C.</t>
        </is>
      </c>
    </row>
    <row r="2686">
      <c r="B2686" s="22" t="inlineStr">
        <is>
          <t>MF1914 - Kaya skin care clinic -sole proprietorship L.L.C</t>
        </is>
      </c>
    </row>
    <row r="2687">
      <c r="B2687" s="22" t="inlineStr">
        <is>
          <t>MF7466 - EVA MEDICAL CENTER - L.L.C - O.P.C</t>
        </is>
      </c>
    </row>
    <row r="2688">
      <c r="B2688" s="22" t="inlineStr">
        <is>
          <t>MF7713 - LINEAR OPTICS</t>
        </is>
      </c>
    </row>
    <row r="2689">
      <c r="B2689" s="22" t="inlineStr">
        <is>
          <t>MF7655 - AD - 169</t>
        </is>
      </c>
    </row>
    <row r="2690">
      <c r="B2690" s="22" t="inlineStr">
        <is>
          <t>MF7735 - BEST EVER MEDICAL SERVICES - SOLE PROPRIETORSHIP L.L.C.</t>
        </is>
      </c>
    </row>
    <row r="2691">
      <c r="B2691" s="22" t="inlineStr">
        <is>
          <t>MF7749 - ADNOC Specialized Medical Center</t>
        </is>
      </c>
    </row>
    <row r="2692">
      <c r="B2692" s="22" t="inlineStr">
        <is>
          <t>MF7760 - ALDHAFRA WASTE COLLECTION L.L.C.</t>
        </is>
      </c>
    </row>
    <row r="2693">
      <c r="B2693" s="22" t="inlineStr">
        <is>
          <t>MF2443 - Specialized Rehabilitation Hospital - L.L.C - S.P.C</t>
        </is>
      </c>
    </row>
    <row r="2694">
      <c r="B2694" s="22" t="inlineStr">
        <is>
          <t>MF7764 - PURE LAB  L.L.C. - BRANCH</t>
        </is>
      </c>
    </row>
    <row r="2695">
      <c r="B2695" s="22" t="inlineStr">
        <is>
          <t>MF7754 - ADNOC Offshore HQ Clinic</t>
        </is>
      </c>
    </row>
    <row r="2696">
      <c r="B2696" s="22" t="inlineStr">
        <is>
          <t>MF7834 - CAPITAL MEDICAL GROUP   - L.L.C - O.P.C</t>
        </is>
      </c>
    </row>
    <row r="2697">
      <c r="B2697" s="22" t="inlineStr">
        <is>
          <t>MF7838 - Alnokhba School Clinic</t>
        </is>
      </c>
    </row>
    <row r="2698">
      <c r="B2698" s="22" t="inlineStr">
        <is>
          <t>MF7846 - ROYAL FIRST DERMATOLOGY MEDICAL CENTER - L.L.C - S.P.C</t>
        </is>
      </c>
    </row>
    <row r="2699">
      <c r="B2699" s="22" t="inlineStr">
        <is>
          <t>MF5537 - ORTHOPLUS MEDICAL CENTER - SOLE PROPRIETORSHIP L.L.C.</t>
        </is>
      </c>
    </row>
    <row r="2700">
      <c r="B2700" s="22" t="inlineStr">
        <is>
          <t>MF7862 - AD-173</t>
        </is>
      </c>
    </row>
    <row r="2701">
      <c r="B2701" s="22" t="inlineStr">
        <is>
          <t>MF7900 - THREE D PLUS DENTAL LABORATORY - L.L.C - S.P.C</t>
        </is>
      </c>
    </row>
    <row r="2702">
      <c r="B2702" s="22" t="inlineStr">
        <is>
          <t>MF5293 - CAPITAL MEDICAL CENTRE FOR HEALTH SCREENING - L.L.C - O.P.C - BRANCH</t>
        </is>
      </c>
    </row>
    <row r="2703">
      <c r="B2703" s="22" t="inlineStr">
        <is>
          <t>MF2339 - MEDICLINIC HOSPITALS - MADINAT ZAYED SPECIALITY CLINICS</t>
        </is>
      </c>
    </row>
    <row r="2704">
      <c r="B2704" s="22" t="inlineStr">
        <is>
          <t>MF8007 - KNOWLEDGE ZONE FOR CONSULTANCY AND TRAINING</t>
        </is>
      </c>
    </row>
    <row r="2705">
      <c r="B2705" s="22" t="inlineStr">
        <is>
          <t>MF8013 - AD-222 Clinic</t>
        </is>
      </c>
    </row>
    <row r="2706">
      <c r="B2706" s="22" t="inlineStr">
        <is>
          <t>MF5492 - CAPITAL AMBULANCE AND MEDICAL SERVICES - L.L.C - O.P.C</t>
        </is>
      </c>
    </row>
    <row r="2707">
      <c r="B2707" s="22" t="inlineStr">
        <is>
          <t>MF2250 - HOLISTIC DENTAL CENTER L.L.C.</t>
        </is>
      </c>
    </row>
    <row r="2708">
      <c r="B2708" s="22" t="inlineStr">
        <is>
          <t>MF8033 - AL FALAHIYYA SCHOOL CLINIC 2</t>
        </is>
      </c>
    </row>
    <row r="2709">
      <c r="B2709" s="22" t="inlineStr">
        <is>
          <t>MF8075 - AD-235 Clinic</t>
        </is>
      </c>
    </row>
    <row r="2710">
      <c r="B2710" s="22" t="inlineStr">
        <is>
          <t>MF8067 - NOYA BRITISH SCHOOL - SOLE PROPRIETORSHIP L.L.C.</t>
        </is>
      </c>
    </row>
    <row r="2711">
      <c r="B2711" s="22" t="inlineStr">
        <is>
          <t>MF168 - ANSARI MEDICAL CENTRE - L.L.C - O.P.C</t>
        </is>
      </c>
    </row>
    <row r="2712">
      <c r="B2712" s="22" t="inlineStr">
        <is>
          <t>MF7820 - TRUST FERTILITY CLINIC - L.L.C</t>
        </is>
      </c>
    </row>
    <row r="2713">
      <c r="B2713" s="22" t="inlineStr">
        <is>
          <t xml:space="preserve">MF8077 - AD-236 Clinic </t>
        </is>
      </c>
    </row>
    <row r="2714">
      <c r="B2714" s="22" t="inlineStr">
        <is>
          <t>MF8141 - AL YASEEN OPTICALS - L.L.C - S.P.C</t>
        </is>
      </c>
    </row>
    <row r="2715">
      <c r="B2715" s="22" t="inlineStr">
        <is>
          <t>MF7977 - THE SPECIALIST DIABETES TREATMENT &amp; RESEARCH CENTRE (IMPERIAL COLLEGE LONDON DIABETES &amp; ENDOCRINE CENTRE) - L.L.C - S.P.C - BRANCH</t>
        </is>
      </c>
    </row>
    <row r="2716">
      <c r="B2716" s="22" t="inlineStr">
        <is>
          <t>MF8197 - AL GHAD NURSERIES -AL DHAHER 2 - L.L.C - O.P.C</t>
        </is>
      </c>
    </row>
    <row r="2717">
      <c r="B2717" s="22" t="inlineStr">
        <is>
          <t>MF8100 - AL GHAD NURSERIES -  AL FALAH 3 - L.L.C - O.P.C</t>
        </is>
      </c>
    </row>
    <row r="2718">
      <c r="B2718" s="22" t="inlineStr">
        <is>
          <t>MF8143 - VAIDHYAVEDHA AYURVEDIC CLINIC L.L.C. -BRANCH OF ABU DHABI</t>
        </is>
      </c>
    </row>
    <row r="2719">
      <c r="B2719" s="22" t="inlineStr">
        <is>
          <t>MF4358 - OCCU MED CLINIC L.L.C</t>
        </is>
      </c>
    </row>
    <row r="2720">
      <c r="B2720" s="22" t="inlineStr">
        <is>
          <t>MF8242 - AL AMIN OPTICALS LLC - BRANCH OF ABU DHABI</t>
        </is>
      </c>
    </row>
    <row r="2721">
      <c r="B2721" s="22" t="inlineStr">
        <is>
          <t>MF8066 - AL MANAHEL PRIVATE SCHOOL  L.L.C.</t>
        </is>
      </c>
    </row>
    <row r="2722">
      <c r="B2722" s="22" t="inlineStr">
        <is>
          <t>MF8148 - FLAWLESS PERFECTION CLINIC - L.L.C - S.P.C</t>
        </is>
      </c>
    </row>
    <row r="2723">
      <c r="B2723" s="22" t="inlineStr">
        <is>
          <t>MF8222 - THE SKIN LOUNGE DERMATOLOGY CLINIC - L.L.C - O.P.C</t>
        </is>
      </c>
    </row>
    <row r="2724">
      <c r="B2724" s="22" t="inlineStr">
        <is>
          <t>MF8386 - ALIA INTERNATIONAL PRIVATE SCHOOL</t>
        </is>
      </c>
    </row>
    <row r="2725">
      <c r="B2725" s="22" t="inlineStr">
        <is>
          <t>MF8486 - NAYAH HOSPITAL  - SOLE PROPRIETORSHIP L.L.C.</t>
        </is>
      </c>
    </row>
    <row r="2726">
      <c r="B2726" s="22" t="inlineStr">
        <is>
          <t>MF8539 - LLH  AL RAZEEN CLINIC TWO - L.L.C</t>
        </is>
      </c>
    </row>
    <row r="2727">
      <c r="B2727" s="22" t="inlineStr">
        <is>
          <t>MF8681 - THE VIEW COSMETOLOGY HOSPITAL - L.L.C</t>
        </is>
      </c>
    </row>
    <row r="2728">
      <c r="B2728" s="22" t="inlineStr">
        <is>
          <t>MF1968 - VLCC INTERNATIONAL-LLC BRANCH ABU DHABI</t>
        </is>
      </c>
    </row>
    <row r="2729">
      <c r="B2729" s="22" t="inlineStr">
        <is>
          <t>MF2403 - VENUS SKIN AND BEAUTY CLINIC</t>
        </is>
      </c>
    </row>
    <row r="2730">
      <c r="B2730" s="22" t="inlineStr">
        <is>
          <t>MF1712 - VICTORY MEDICAL CENTER L.L.C</t>
        </is>
      </c>
    </row>
    <row r="2731">
      <c r="B2731" s="22" t="inlineStr">
        <is>
          <t>MF467 - SULTAN MEDICAL CENTRE</t>
        </is>
      </c>
    </row>
    <row r="2732">
      <c r="B2732" s="22" t="inlineStr">
        <is>
          <t>MF469 - SWEDISH MEDICAL CENTRE  W.L.L</t>
        </is>
      </c>
    </row>
    <row r="2733">
      <c r="B2733" s="22" t="inlineStr">
        <is>
          <t>MF1494 - SLEMKEER AESTHETIC AND SLIMMING CENTRE</t>
        </is>
      </c>
    </row>
    <row r="2734">
      <c r="B2734" s="22" t="inlineStr">
        <is>
          <t>MF1009 - SPECIALIZED TOWER  MEDICAL CENTRE</t>
        </is>
      </c>
    </row>
    <row r="2735">
      <c r="B2735" s="22" t="inlineStr">
        <is>
          <t>MF465 - SUDAN CLINIC</t>
        </is>
      </c>
    </row>
    <row r="2736">
      <c r="B2736" s="22" t="inlineStr">
        <is>
          <t>MF191 - SULAIMAN MEDICAL CENTRE- L.L.C - O.P.C</t>
        </is>
      </c>
    </row>
    <row r="2737">
      <c r="B2737" s="22" t="inlineStr">
        <is>
          <t>MF1636 - SHAFEEQ MEDICAL CENTER</t>
        </is>
      </c>
    </row>
    <row r="2738">
      <c r="B2738" s="22" t="inlineStr">
        <is>
          <t>MF1012 - SHAHEEN MEDICAL CENTRE</t>
        </is>
      </c>
    </row>
    <row r="2739">
      <c r="B2739" s="22" t="inlineStr">
        <is>
          <t>MF2370 - SHEIKH KHALIFA BIN ZAYED HOSPITAL</t>
        </is>
      </c>
    </row>
    <row r="2740">
      <c r="B2740" s="22" t="inlineStr">
        <is>
          <t>MF1341 - SAIF DENTAL CENTRE</t>
        </is>
      </c>
    </row>
    <row r="2741">
      <c r="B2741" s="22" t="inlineStr">
        <is>
          <t>MF2419 - RAINBOW AROKAYA PHYSIOTHERAPY</t>
        </is>
      </c>
    </row>
    <row r="2742">
      <c r="B2742" s="22" t="inlineStr">
        <is>
          <t>MF1605 - PEARLY SMILE DENTAL CENTER L.L.C</t>
        </is>
      </c>
    </row>
    <row r="2743">
      <c r="B2743" s="22" t="inlineStr">
        <is>
          <t>MF549 - PIONEER DENTAL CLINIC</t>
        </is>
      </c>
    </row>
    <row r="2744">
      <c r="B2744" s="22" t="inlineStr">
        <is>
          <t>MF414 - OUR OWN ENGLISH SCHOOL</t>
        </is>
      </c>
    </row>
    <row r="2745">
      <c r="B2745" s="22" t="inlineStr">
        <is>
          <t>MF392 - NEW DENTAL CENTER L.L.C.</t>
        </is>
      </c>
    </row>
    <row r="2746">
      <c r="B2746" s="22" t="inlineStr">
        <is>
          <t>MF1464 - NEW HOMEOPATHIC CENTRE</t>
        </is>
      </c>
    </row>
    <row r="2747">
      <c r="B2747" s="22" t="inlineStr">
        <is>
          <t>MF1899 - CALIFORNIA MEDICAL CENTER - L.L.C</t>
        </is>
      </c>
    </row>
    <row r="2748">
      <c r="B2748" s="22" t="inlineStr">
        <is>
          <t>MF386 - NATIONAL MEDICAL CENTRE</t>
        </is>
      </c>
    </row>
    <row r="2749">
      <c r="B2749" s="22" t="inlineStr">
        <is>
          <t>MF999 - MORANI ORTHODONTIC CENTER &amp; GENERAL MEDICAL - L.L.C</t>
        </is>
      </c>
    </row>
    <row r="2750">
      <c r="B2750" s="22" t="inlineStr">
        <is>
          <t>MF2074 - MILLENNIUM CENTER FOR DERMATOLOGY &amp; DIABETES</t>
        </is>
      </c>
    </row>
    <row r="2751">
      <c r="B2751" s="22" t="inlineStr">
        <is>
          <t>MF2009 - MARFA HOSPITAL</t>
        </is>
      </c>
    </row>
    <row r="2752">
      <c r="B2752" s="22" t="inlineStr">
        <is>
          <t>MF321 - LOS ANGELES DENTAL CLINIC</t>
        </is>
      </c>
    </row>
    <row r="2753">
      <c r="B2753" s="22" t="inlineStr">
        <is>
          <t>MF315 - EXCELLENCY MEDICAL CENTER - SOLE PROPRIETORSHIP L.L.C.</t>
        </is>
      </c>
    </row>
    <row r="2754">
      <c r="B2754" s="22" t="inlineStr">
        <is>
          <t>MF303 - KADDAS MEDICAL CENTRE</t>
        </is>
      </c>
    </row>
    <row r="2755">
      <c r="B2755" s="22" t="inlineStr">
        <is>
          <t>MF1049 - KATTAN OPTICIANS/2</t>
        </is>
      </c>
    </row>
    <row r="2756">
      <c r="B2756" s="22" t="inlineStr">
        <is>
          <t>MF15 - ALBUSTAN ADVANCE MEDICAL CENTER - SOLE PROPRIETORSHIP L.L.C.</t>
        </is>
      </c>
    </row>
    <row r="2757">
      <c r="B2757" s="22" t="inlineStr">
        <is>
          <t>MF1881 - HIGH SURGERY  SPECILIZED HOSPITAL</t>
        </is>
      </c>
    </row>
    <row r="2758">
      <c r="B2758" s="22" t="inlineStr">
        <is>
          <t>MF1188 - HABEB OPTICALS /2</t>
        </is>
      </c>
    </row>
    <row r="2759">
      <c r="B2759" s="22" t="inlineStr">
        <is>
          <t>MF1190 - FINE CARE MEDICAL AND PRIMARY HEALTH CARE CENTER</t>
        </is>
      </c>
    </row>
    <row r="2760">
      <c r="B2760" s="22" t="inlineStr">
        <is>
          <t>MF1187 - DR. SHAIKHS  DENTAL CLINIC</t>
        </is>
      </c>
    </row>
    <row r="2761">
      <c r="B2761" s="22" t="inlineStr">
        <is>
          <t>MF1284 - DR.ALIYEH ADELI SPECIALIZED MEDICAL CLINIC</t>
        </is>
      </c>
    </row>
    <row r="2762">
      <c r="B2762" s="22" t="inlineStr">
        <is>
          <t>MF316 - DR KOUTHAR AL WAIDH CLINIC - SOLE PROPRIETORSHIP L.L.C.</t>
        </is>
      </c>
    </row>
    <row r="2763">
      <c r="B2763" s="22" t="inlineStr">
        <is>
          <t>MF406 - DR FERAS JOUMMA SPECIALIZED DENTAL CENTER - SOLE PROPRIETORSHIP L.L.C</t>
        </is>
      </c>
    </row>
    <row r="2764">
      <c r="B2764" s="22" t="inlineStr">
        <is>
          <t>MF787 - DR. ABDULRAHMAN AL MAAAR CLINIC</t>
        </is>
      </c>
    </row>
    <row r="2765">
      <c r="B2765" s="22" t="inlineStr">
        <is>
          <t>MF632 - DR. ALIA CLINIC</t>
        </is>
      </c>
    </row>
    <row r="2766">
      <c r="B2766" s="22" t="inlineStr">
        <is>
          <t>MF1185 - DR. GHAZAL MAHERI SPECIALISED CLINIC L.L.C.</t>
        </is>
      </c>
    </row>
    <row r="2767">
      <c r="B2767" s="22" t="inlineStr">
        <is>
          <t>MF1311 - COSMESURGE &amp; EMIRATES CLINICS FOR ONE DAY SURGERY L.L.C</t>
        </is>
      </c>
    </row>
    <row r="2768">
      <c r="B2768" s="22" t="inlineStr">
        <is>
          <t>MF2133 - CRYSTAL DENTAL LAB</t>
        </is>
      </c>
    </row>
    <row r="2769">
      <c r="B2769" s="22" t="inlineStr">
        <is>
          <t>MF212 - DANNY CLINIC</t>
        </is>
      </c>
    </row>
    <row r="2770">
      <c r="B2770" s="22" t="inlineStr">
        <is>
          <t>MF1079 - CORNICHE HOSPITAL.</t>
        </is>
      </c>
    </row>
    <row r="2771">
      <c r="B2771" s="22" t="inlineStr">
        <is>
          <t>MF1923 - CARE AND CARE MEDICAL CENTER</t>
        </is>
      </c>
    </row>
    <row r="2772">
      <c r="B2772" s="22" t="inlineStr">
        <is>
          <t>MF2336 - Buhasa Medical Center</t>
        </is>
      </c>
    </row>
    <row r="2773">
      <c r="B2773" s="22" t="inlineStr">
        <is>
          <t>MF770 - ARTIUM DENTAL LAB</t>
        </is>
      </c>
    </row>
    <row r="2774">
      <c r="B2774" s="22" t="inlineStr">
        <is>
          <t>MF24 - ARIA DERMATOLOGY CLINIC</t>
        </is>
      </c>
    </row>
    <row r="2775">
      <c r="B2775" s="22" t="inlineStr">
        <is>
          <t>MF2335 - ASAB  MEDICAL  CENTER</t>
        </is>
      </c>
    </row>
    <row r="2776">
      <c r="B2776" s="22" t="inlineStr">
        <is>
          <t>MF647 - ASSOCIATED DOCTORS LABORATORY</t>
        </is>
      </c>
    </row>
    <row r="2777">
      <c r="B2777" s="22" t="inlineStr">
        <is>
          <t>MF170 - APPOLONIA PEDIATRIC DENTAL CENTER L.L.C - S.P.C</t>
        </is>
      </c>
    </row>
    <row r="2778">
      <c r="B2778" s="22" t="inlineStr">
        <is>
          <t>MF1046 - AMERICAN CRESCENT HEALTH CARE CENTRE SOLE PROPRIETRSHIP L L C</t>
        </is>
      </c>
    </row>
    <row r="2779">
      <c r="B2779" s="22" t="inlineStr">
        <is>
          <t>MF2464 - ALJABER HOSPITAL</t>
        </is>
      </c>
    </row>
    <row r="2780">
      <c r="B2780" s="22" t="inlineStr">
        <is>
          <t>MF1935 - AL DERA DENTAL CLINIC - SOLE PROPRIETORSHIP L.L.C.</t>
        </is>
      </c>
    </row>
    <row r="2781">
      <c r="B2781" s="22" t="inlineStr">
        <is>
          <t>MF2499 - AL YASAT MEDICAL CENTER FOR REHABILTATION</t>
        </is>
      </c>
    </row>
    <row r="2782">
      <c r="B2782" s="22" t="inlineStr">
        <is>
          <t>MF133 - AL SAQI MEDICAL POLY CLINIC - LLC</t>
        </is>
      </c>
    </row>
    <row r="2783">
      <c r="B2783" s="22" t="inlineStr">
        <is>
          <t>MF1602 - AL SHABIYA DENTAL CLINIC</t>
        </is>
      </c>
    </row>
    <row r="2784">
      <c r="B2784" s="22" t="inlineStr">
        <is>
          <t>MF138 - AL SHAHD MEDICAL CENTRE</t>
        </is>
      </c>
    </row>
    <row r="2785">
      <c r="B2785" s="22" t="inlineStr">
        <is>
          <t>MF616 - AL BUSTAN JUNIOR DENTAL CENTER - L.L.C - S.P.C</t>
        </is>
      </c>
    </row>
    <row r="2786">
      <c r="B2786" s="22" t="inlineStr">
        <is>
          <t>MF123 - AL RAHMA SPECIALITY MEDICAL CENTRE</t>
        </is>
      </c>
    </row>
    <row r="2787">
      <c r="B2787" s="22" t="inlineStr">
        <is>
          <t>MF111 - AL NAJAH MEDICAL CLINIC</t>
        </is>
      </c>
    </row>
    <row r="2788">
      <c r="B2788" s="22" t="inlineStr">
        <is>
          <t>MF2458 - AL MASHRIQ LIBANIS &amp; FRANCIS HOSPITAL</t>
        </is>
      </c>
    </row>
    <row r="2789">
      <c r="B2789" s="22" t="inlineStr">
        <is>
          <t>MF2436 - AL MAZROUI MEDICAL CLINIC - ALTAWILA</t>
        </is>
      </c>
    </row>
    <row r="2790">
      <c r="B2790" s="22" t="inlineStr">
        <is>
          <t>MF1805 - AL ISRAA SPECIALIZED HOSPITAL</t>
        </is>
      </c>
    </row>
    <row r="2791">
      <c r="B2791" s="22" t="inlineStr">
        <is>
          <t>MF1575 - AL FAROOQ MEDICAL &amp;  DENTAL CENTER L.L.C</t>
        </is>
      </c>
    </row>
    <row r="2792">
      <c r="B2792" s="22" t="inlineStr">
        <is>
          <t>MF690 - AL BUTAIN GENERAL HOSPITAL</t>
        </is>
      </c>
    </row>
    <row r="2793">
      <c r="B2793" s="22" t="inlineStr">
        <is>
          <t>MF543 - AL ANOOD MEDICAL CLINIC</t>
        </is>
      </c>
    </row>
    <row r="2794">
      <c r="B2794" s="22" t="inlineStr">
        <is>
          <t>MF2057 - AL AIN HOSPITAL</t>
        </is>
      </c>
    </row>
    <row r="2795">
      <c r="B2795" s="22" t="inlineStr">
        <is>
          <t>MF789 - AL AMAL DENTAL LABORATORY</t>
        </is>
      </c>
    </row>
    <row r="2796">
      <c r="B2796" s="22" t="inlineStr">
        <is>
          <t>MF1287 - AL AMEERA DENTAL CLINIC L.L.C</t>
        </is>
      </c>
    </row>
    <row r="2797">
      <c r="B2797" s="22" t="inlineStr">
        <is>
          <t>MF1633 - ABDULLAH AL OTAIBA HOSPITAL</t>
        </is>
      </c>
    </row>
    <row r="2798">
      <c r="B2798" s="22" t="inlineStr">
        <is>
          <t>MF21 - ADVANCED AMERICAN DENTAL CENTER L.L.C</t>
        </is>
      </c>
    </row>
    <row r="2799">
      <c r="B2799" s="22" t="inlineStr">
        <is>
          <t>MF28 - AILABOUNY MEDICAL CENTER L.L.C L.L.C.</t>
        </is>
      </c>
    </row>
    <row r="2800">
      <c r="B2800" s="22" t="inlineStr">
        <is>
          <t>MF23 - AL AHLI HOSPITAL COMPANY L L C</t>
        </is>
      </c>
    </row>
    <row r="2801">
      <c r="B2801" s="22" t="inlineStr">
        <is>
          <t>MF2617 - JORDAN DENTAL CENTER - L.L.C - S.P.C</t>
        </is>
      </c>
    </row>
    <row r="2802">
      <c r="B2802" s="22" t="inlineStr">
        <is>
          <t>MF2559 - POLICE COLLEGE CLINIC</t>
        </is>
      </c>
    </row>
    <row r="2803">
      <c r="B2803" s="22" t="inlineStr">
        <is>
          <t>MF3093 - POLYCLINIC AESTHETIC PLASTIC SURGERY DERMATOLOGY DENTAL LLC-BRANCH</t>
        </is>
      </c>
    </row>
    <row r="2804">
      <c r="B2804" s="22" t="inlineStr">
        <is>
          <t>MF3019 - BEAUTY POWER MEDICAL CENTER- L L C</t>
        </is>
      </c>
    </row>
    <row r="2805">
      <c r="B2805" s="22" t="inlineStr">
        <is>
          <t>MF3015 - BERLIN HEALTH CONSULTANCY</t>
        </is>
      </c>
    </row>
    <row r="2806">
      <c r="B2806" s="22" t="inlineStr">
        <is>
          <t>MF3122 - SEHA Kidney Care Center - Al Ain</t>
        </is>
      </c>
    </row>
    <row r="2807">
      <c r="B2807" s="22" t="inlineStr">
        <is>
          <t>MF3158 - SILKOR MEDICAL CLINIC LLC</t>
        </is>
      </c>
    </row>
    <row r="2808">
      <c r="B2808" s="22" t="inlineStr">
        <is>
          <t>MF657 - SWEDISH MEDICAL CENTRE - WLL- BRANCH</t>
        </is>
      </c>
    </row>
    <row r="2809">
      <c r="B2809" s="22" t="inlineStr">
        <is>
          <t>MF1467 - RAKHAA AL KILANI GYNAECOLOGY CLINIC</t>
        </is>
      </c>
    </row>
    <row r="2810">
      <c r="B2810" s="22" t="inlineStr">
        <is>
          <t>MF1288 - ASPEN DENTAL POLYCLINIC - L.L.C</t>
        </is>
      </c>
    </row>
    <row r="2811">
      <c r="B2811" s="22" t="inlineStr">
        <is>
          <t>MF2375 - DIABETIC CENTER</t>
        </is>
      </c>
    </row>
    <row r="2812">
      <c r="B2812" s="22" t="inlineStr">
        <is>
          <t>MF2075 - DISEASE PREVENTION AND SCREENING CENTER-ALAIN</t>
        </is>
      </c>
    </row>
    <row r="2813">
      <c r="B2813" s="22" t="inlineStr">
        <is>
          <t>MF1926 - AMRITA LASER SKIN CARE CLINIC</t>
        </is>
      </c>
    </row>
    <row r="2814">
      <c r="B2814" s="22" t="inlineStr">
        <is>
          <t>MF150 - AL WAFI DENTAL CLINIC</t>
        </is>
      </c>
    </row>
    <row r="2815">
      <c r="B2815" s="22" t="inlineStr">
        <is>
          <t>MF131 - AL SALAMA HOSPITAL L.L.C</t>
        </is>
      </c>
    </row>
    <row r="2816">
      <c r="B2816" s="22" t="inlineStr">
        <is>
          <t>MF1780 - AL RIDA SPECIALIZED HOSPITAL</t>
        </is>
      </c>
    </row>
    <row r="2817">
      <c r="B2817" s="22" t="inlineStr">
        <is>
          <t>MF1878 - AL MAWASA SPECIALIZED HOSPITAL</t>
        </is>
      </c>
    </row>
    <row r="2818">
      <c r="B2818" s="22" t="inlineStr">
        <is>
          <t>MF2006 - AL MAFRAQ HOSPITAL</t>
        </is>
      </c>
    </row>
    <row r="2819">
      <c r="B2819" s="22" t="inlineStr">
        <is>
          <t>MF2929 - H S R ADVANCE MEDICAL CENTER ONE DAY SURGERY</t>
        </is>
      </c>
    </row>
    <row r="2820">
      <c r="B2820" s="22" t="inlineStr">
        <is>
          <t>MF2594 - SMILE PSYCHIATRY CLINIC</t>
        </is>
      </c>
    </row>
    <row r="2821">
      <c r="B2821" s="22" t="inlineStr">
        <is>
          <t>MF2952 - WHITE  HAND HOSPITAL</t>
        </is>
      </c>
    </row>
    <row r="2822">
      <c r="B2822" s="22" t="inlineStr">
        <is>
          <t>MF3126 - AL ASHOOSH MEDICAL CLINIC</t>
        </is>
      </c>
    </row>
    <row r="2823">
      <c r="B2823" s="22" t="inlineStr">
        <is>
          <t>MF3058 - JULPHAR HEALTHY SERVICES - ABU DHABI BRANCH</t>
        </is>
      </c>
    </row>
    <row r="2824">
      <c r="B2824" s="22" t="inlineStr">
        <is>
          <t>MF1296 - AL- HILI MEDICAL CENTRE</t>
        </is>
      </c>
    </row>
    <row r="2825">
      <c r="B2825" s="22" t="inlineStr">
        <is>
          <t>MF3181 - SYNERGY HOME HEALTH CARE CENTER</t>
        </is>
      </c>
    </row>
    <row r="2826">
      <c r="B2826" s="22" t="inlineStr">
        <is>
          <t>MF3191 - MARINA DENTAL MEDICAL CENTER</t>
        </is>
      </c>
    </row>
    <row r="2827">
      <c r="B2827" s="22" t="inlineStr">
        <is>
          <t>MF3228 - ROyAL MUNiCH MEDICAL POLY CLINIC</t>
        </is>
      </c>
    </row>
    <row r="2828">
      <c r="B2828" s="22" t="inlineStr">
        <is>
          <t>MF3265 - AL HESN GYNECOLOGY &amp; BORN CLINC</t>
        </is>
      </c>
    </row>
    <row r="2829">
      <c r="B2829" s="22" t="inlineStr">
        <is>
          <t>MF3287 - ARABIAN CONSTRUCTION COMPANY CLINIC - WLL_2</t>
        </is>
      </c>
    </row>
    <row r="2830">
      <c r="B2830" s="22" t="inlineStr">
        <is>
          <t>MF3294 - Manila Medical Polyclinic L.L.C.</t>
        </is>
      </c>
    </row>
    <row r="2831">
      <c r="B2831" s="22" t="inlineStr">
        <is>
          <t>MF3309 - SCOTTISH DENTAL CENTER - SOLE PROPRIETORSHIP L.L.C.</t>
        </is>
      </c>
    </row>
    <row r="2832">
      <c r="B2832" s="22" t="inlineStr">
        <is>
          <t>MF1051 - PARIS DENTAL CENTER</t>
        </is>
      </c>
    </row>
    <row r="2833">
      <c r="B2833" s="22" t="inlineStr">
        <is>
          <t>MF331 - DR. MAMOUN EYE CLINIC</t>
        </is>
      </c>
    </row>
    <row r="2834">
      <c r="B2834" s="22" t="inlineStr">
        <is>
          <t>MF162 - AMAR MEDICAL CLINIC</t>
        </is>
      </c>
    </row>
    <row r="2835">
      <c r="B2835" s="22" t="inlineStr">
        <is>
          <t>MF2978 - ROYAL HOSPITAL</t>
        </is>
      </c>
    </row>
    <row r="2836">
      <c r="B2836" s="22" t="inlineStr">
        <is>
          <t>MF3014 - SPECIALIZED MEDICAL CARE CENTER</t>
        </is>
      </c>
    </row>
    <row r="2837">
      <c r="B2837" s="22" t="inlineStr">
        <is>
          <t>MF3311 - Dalma Hospital L.L.C.</t>
        </is>
      </c>
    </row>
    <row r="2838">
      <c r="B2838" s="22" t="inlineStr">
        <is>
          <t>MF3324 - green live health planning &amp; consultancies L.L.C</t>
        </is>
      </c>
    </row>
    <row r="2839">
      <c r="B2839" s="22" t="inlineStr">
        <is>
          <t>MF2290 - UMM AL DAKH CLINIC</t>
        </is>
      </c>
    </row>
    <row r="2840">
      <c r="B2840" s="22" t="inlineStr">
        <is>
          <t>MF1835 - RANA MEDICAL CENTRE - SOLE PROPRIETORSHIP L.L.C</t>
        </is>
      </c>
    </row>
    <row r="2841">
      <c r="B2841" s="22" t="inlineStr">
        <is>
          <t>MF1487 - NOOR AL AIN MEDICAL CENTER</t>
        </is>
      </c>
    </row>
    <row r="2842">
      <c r="B2842" s="22" t="inlineStr">
        <is>
          <t>MF455 - DR SEOUD DENTAL CLINIC</t>
        </is>
      </c>
    </row>
    <row r="2843">
      <c r="B2843" s="22" t="inlineStr">
        <is>
          <t>MF159 - DR. ALLISSAR KHOURY CLINIC</t>
        </is>
      </c>
    </row>
    <row r="2844">
      <c r="B2844" s="22" t="inlineStr">
        <is>
          <t>MF1627 - CZECH PHYSIOTHERAPY CENTER</t>
        </is>
      </c>
    </row>
    <row r="2845">
      <c r="B2845" s="22" t="inlineStr">
        <is>
          <t>MF19 - AL SHUAA MEDICAL CENTRE</t>
        </is>
      </c>
    </row>
    <row r="2846">
      <c r="B2846" s="22" t="inlineStr">
        <is>
          <t>MF2390 - AL SALAM CLINIC</t>
        </is>
      </c>
    </row>
    <row r="2847">
      <c r="B2847" s="22" t="inlineStr">
        <is>
          <t>MF429 - AL RAYASHI DENTAL CENTER</t>
        </is>
      </c>
    </row>
    <row r="2848">
      <c r="B2848" s="22" t="inlineStr">
        <is>
          <t>MF1365 - AL FALAH PHYSIOTHERAPY CENTRE L.L.C</t>
        </is>
      </c>
    </row>
    <row r="2849">
      <c r="B2849" s="22" t="inlineStr">
        <is>
          <t>MF2404 - ABILITY CENTRE FOR SPECIAL NEEDS</t>
        </is>
      </c>
    </row>
    <row r="2850">
      <c r="B2850" s="22" t="inlineStr">
        <is>
          <t>MF2980 - AL AIN CROMWELL HOSPITAL MANAGEMENT CO L.L.C</t>
        </is>
      </c>
    </row>
    <row r="2851">
      <c r="B2851" s="22" t="inlineStr">
        <is>
          <t>MF3097 - ROYAL JET- LLC</t>
        </is>
      </c>
    </row>
    <row r="2852">
      <c r="B2852" s="22" t="inlineStr">
        <is>
          <t>MF2090 - Zakher HealthCare Center</t>
        </is>
      </c>
    </row>
    <row r="2853">
      <c r="B2853" s="22" t="inlineStr">
        <is>
          <t>MF440 - SADD MAAREB MEDICAL CENTER SOLE PROPRIETORSHIP L.L.C</t>
        </is>
      </c>
    </row>
    <row r="2854">
      <c r="B2854" s="22" t="inlineStr">
        <is>
          <t>MF1907 - MOTHER OF EMIRATES HOSPITAL LLC</t>
        </is>
      </c>
    </row>
    <row r="2855">
      <c r="B2855" s="22" t="inlineStr">
        <is>
          <t>MF2063 - MADINAT ZAYED PRIMARY HEALTH CARE CENTER</t>
        </is>
      </c>
    </row>
    <row r="2856">
      <c r="B2856" s="22" t="inlineStr">
        <is>
          <t>MF1946 - IBN KHALDOUN MEDICAL SPECIALITY CENTER L.LC</t>
        </is>
      </c>
    </row>
    <row r="2857">
      <c r="B2857" s="22" t="inlineStr">
        <is>
          <t>MF983 - DAR ALSHIFA MEDICAL CENTER L.L.C</t>
        </is>
      </c>
    </row>
    <row r="2858">
      <c r="B2858" s="22" t="inlineStr">
        <is>
          <t>MF1327 - AL MAZROUI MEDICAL CENTRE ONE DAY SURGERY L.L.C.</t>
        </is>
      </c>
    </row>
    <row r="2859">
      <c r="B2859" s="22" t="inlineStr">
        <is>
          <t>MF86 - AL KAHIRAH EYE CLINIC</t>
        </is>
      </c>
    </row>
    <row r="2860">
      <c r="B2860" s="22" t="inlineStr">
        <is>
          <t>MF2257 -  BAREEN INTERNATIONAL HOSPITAL - L.L.C - O.P.C</t>
        </is>
      </c>
    </row>
    <row r="2861">
      <c r="B2861" s="22" t="inlineStr">
        <is>
          <t>MF2989 - AL JABER ESTABLISHMENT MEDICAL  CLINIC - TAWEELA BRANCH</t>
        </is>
      </c>
    </row>
    <row r="2862">
      <c r="B2862" s="22" t="inlineStr">
        <is>
          <t xml:space="preserve">MF2966 - National Search and Rescue Centre </t>
        </is>
      </c>
    </row>
    <row r="2863">
      <c r="B2863" s="22" t="inlineStr">
        <is>
          <t>MF3080 - MEDICLINIC HOSPITALS - AL MUSAFAH SPECIALITY CLINICS  L.L.C.</t>
        </is>
      </c>
    </row>
    <row r="2864">
      <c r="B2864" s="22" t="inlineStr">
        <is>
          <t>MF3138 - ASPIRE TRAINING AND MANAGEMENT CONSULTANCY L.L.C</t>
        </is>
      </c>
    </row>
    <row r="2865">
      <c r="B2865" s="22" t="inlineStr">
        <is>
          <t>MF3168 - CARMEL MEDICAL CLINICS - LLC</t>
        </is>
      </c>
    </row>
    <row r="2866">
      <c r="B2866" s="22" t="inlineStr">
        <is>
          <t>MF610 - AL KHALIDYAH CLINIC</t>
        </is>
      </c>
    </row>
    <row r="2867">
      <c r="B2867" s="22" t="inlineStr">
        <is>
          <t>MF3330 - ALBAHJAH CLINIC</t>
        </is>
      </c>
    </row>
    <row r="2868">
      <c r="B2868" s="22" t="inlineStr">
        <is>
          <t>MF1358 - LENSES CORNER</t>
        </is>
      </c>
    </row>
    <row r="2869">
      <c r="B2869" s="22" t="inlineStr">
        <is>
          <t>MF1693 - AL RANEEN MEDICAL CENTRE L.L.C</t>
        </is>
      </c>
    </row>
    <row r="2870">
      <c r="B2870" s="22" t="inlineStr">
        <is>
          <t>MF3812 - AL AIN CROMWELL WOMEN AND CHILDREN HOSPITAL L.L.C -BRANCH 1</t>
        </is>
      </c>
    </row>
    <row r="2871">
      <c r="B2871" s="22" t="inlineStr">
        <is>
          <t>MF3167 - AESTHETIC DENTAL CENTER - SOLE PROPRIETORSHIP L.L.C.</t>
        </is>
      </c>
    </row>
    <row r="2872">
      <c r="B2872" s="22" t="inlineStr">
        <is>
          <t xml:space="preserve">MF3572 - SAS ALNAKHEEL HOSPITAL </t>
        </is>
      </c>
    </row>
    <row r="2873">
      <c r="B2873" s="22" t="inlineStr">
        <is>
          <t>MF3209 - SEHA Dialysis Services – Al Rahba Hospital</t>
        </is>
      </c>
    </row>
    <row r="2874">
      <c r="B2874" s="22" t="inlineStr">
        <is>
          <t>MF3544 - NOOR ALAHLI ONE DAY SURGERY CENTER L L C</t>
        </is>
      </c>
    </row>
    <row r="2875">
      <c r="B2875" s="22" t="inlineStr">
        <is>
          <t>MF3567 - AL MADAR MEDICAL CENTER L.L.C. -  BRANCH 3</t>
        </is>
      </c>
    </row>
    <row r="2876">
      <c r="B2876" s="22" t="inlineStr">
        <is>
          <t>MF3570 - THE SPECIALIZED SPEECH CENTRE FOR SPEECH THERAPY AND LEARNING DISABILITIES</t>
        </is>
      </c>
    </row>
    <row r="2877">
      <c r="B2877" s="22" t="inlineStr">
        <is>
          <t>MF3839 - Al Sela' Care and Rehabilitation Center For People With Special Needs</t>
        </is>
      </c>
    </row>
    <row r="2878">
      <c r="B2878" s="22" t="inlineStr">
        <is>
          <t>MF3603 - PIONEER MEDICAL SERVICES - L.L.C - O.P.C</t>
        </is>
      </c>
    </row>
    <row r="2879">
      <c r="B2879" s="22" t="inlineStr">
        <is>
          <t>MF3610 - NEW AGE CLINIC L.L.C.</t>
        </is>
      </c>
    </row>
    <row r="2880">
      <c r="B2880" s="22" t="inlineStr">
        <is>
          <t>MF3642 - DAR AL SHIFAA MEDICAL FACILITIES MANAGEMENT L.L.C</t>
        </is>
      </c>
    </row>
    <row r="2881">
      <c r="B2881" s="22" t="inlineStr">
        <is>
          <t>MF3656 - FIVE CONTINENTS TECHNICAL &amp; INDUSTRIAL SERVICES ESTABLISHMENT</t>
        </is>
      </c>
    </row>
    <row r="2882">
      <c r="B2882" s="22" t="inlineStr">
        <is>
          <t>MF3631 - BURJEEL DENTAL LABORATORY L.L.C.</t>
        </is>
      </c>
    </row>
    <row r="2883">
      <c r="B2883" s="22" t="inlineStr">
        <is>
          <t>MF3645 - ISLAND HOME HEALTH CARE L.L.C</t>
        </is>
      </c>
    </row>
    <row r="2884">
      <c r="B2884" s="22" t="inlineStr">
        <is>
          <t xml:space="preserve">MF3635 - Lotus Holistic Health Planning &amp; Consultancy Institute  </t>
        </is>
      </c>
    </row>
    <row r="2885">
      <c r="B2885" s="22" t="inlineStr">
        <is>
          <t>MF3630 - NEW MEDICAL CENTRE LLC BR FROM SHARJAH-BRANCH OF ABU DHABI 1</t>
        </is>
      </c>
    </row>
    <row r="2886">
      <c r="B2886" s="22" t="inlineStr">
        <is>
          <t>MF3677 - NORTH WEST HOSPITAL</t>
        </is>
      </c>
    </row>
    <row r="2887">
      <c r="B2887" s="22" t="inlineStr">
        <is>
          <t xml:space="preserve">MF3663 - ALNAJAT HOSPITAL </t>
        </is>
      </c>
    </row>
    <row r="2888">
      <c r="B2888" s="22" t="inlineStr">
        <is>
          <t>MF3671 - REJUVENATE HEALTH SERVICES L.L.C.</t>
        </is>
      </c>
    </row>
    <row r="2889">
      <c r="B2889" s="22" t="inlineStr">
        <is>
          <t>MF3735 - AL ITQAN HOME HEALTH CARE CENTER - SOLE PROPRIETORSHIP L.L.C.</t>
        </is>
      </c>
    </row>
    <row r="2890">
      <c r="B2890" s="22" t="inlineStr">
        <is>
          <t>MF3704 - AL SALAMAT HEALTHCARE CENTER</t>
        </is>
      </c>
    </row>
    <row r="2891">
      <c r="B2891" s="22" t="inlineStr">
        <is>
          <t>MF3273 - MARIGOLD DENTAL &amp; ORTHODONTIC CLINIC L.L.C.</t>
        </is>
      </c>
    </row>
    <row r="2892">
      <c r="B2892" s="22" t="inlineStr">
        <is>
          <t>MF3685 - Mayfair Medical Centre</t>
        </is>
      </c>
    </row>
    <row r="2893">
      <c r="B2893" s="22" t="inlineStr">
        <is>
          <t>MF3745 - ACCU CARE MEDICAL CENTER -SOLE PROPRIETORSHIP L.L.C</t>
        </is>
      </c>
    </row>
    <row r="2894">
      <c r="B2894" s="22" t="inlineStr">
        <is>
          <t>MF3835 - ALSALAMA HOSPITAL -BRANCH1</t>
        </is>
      </c>
    </row>
    <row r="2895">
      <c r="B2895" s="22" t="inlineStr">
        <is>
          <t>MF4124 - WESTERN HOME CARE L.L.C</t>
        </is>
      </c>
    </row>
    <row r="2896">
      <c r="B2896" s="22" t="inlineStr">
        <is>
          <t>MF3758 - AL AFIYA MEDICAL CENTER FOR REHABILITATION</t>
        </is>
      </c>
    </row>
    <row r="2897">
      <c r="B2897" s="22" t="inlineStr">
        <is>
          <t>MF3760 - INFINITY HEALTH CARE MEDICAL CENTER L.L.C</t>
        </is>
      </c>
    </row>
    <row r="2898">
      <c r="B2898" s="22" t="inlineStr">
        <is>
          <t>MF3761 - VENECIA HOME NURSING AND REHABILITATION LL.-BRANCH 1</t>
        </is>
      </c>
    </row>
    <row r="2899">
      <c r="B2899" s="22" t="inlineStr">
        <is>
          <t>MF3788 - SPECIALIST CENTER VASCULAR AND DIABETIC FOOT</t>
        </is>
      </c>
    </row>
    <row r="2900">
      <c r="B2900" s="22" t="inlineStr">
        <is>
          <t xml:space="preserve">MF3821 - CARE REHABILITION HOSPITAL </t>
        </is>
      </c>
    </row>
    <row r="2901">
      <c r="B2901" s="22" t="inlineStr">
        <is>
          <t>MF3703 - AL DHAHER NEW HEALTH CENTRE</t>
        </is>
      </c>
    </row>
    <row r="2902">
      <c r="B2902" s="22" t="inlineStr">
        <is>
          <t xml:space="preserve">MF3705 - UM GHAFFA HEALTHCARE CENTER </t>
        </is>
      </c>
    </row>
    <row r="2903">
      <c r="B2903" s="22" t="inlineStr">
        <is>
          <t>MF3819 - ARAA MANAGEMENT AND HUMAN RESOURCE CONSULTING</t>
        </is>
      </c>
    </row>
    <row r="2904">
      <c r="B2904" s="22" t="inlineStr">
        <is>
          <t>MF3808 - AL MEENA MEDICAL CENTRE L.L.C.</t>
        </is>
      </c>
    </row>
    <row r="2905">
      <c r="B2905" s="22" t="inlineStr">
        <is>
          <t>MF3809 - HALA DENTAL CENTER</t>
        </is>
      </c>
    </row>
    <row r="2906">
      <c r="B2906" s="22" t="inlineStr">
        <is>
          <t>MF3845 - SAMAYA SPECIALIZED EYE HOSPITAL LLC</t>
        </is>
      </c>
    </row>
    <row r="2907">
      <c r="B2907" s="22" t="inlineStr">
        <is>
          <t>MF3855 - SPECTRUM MEDICAL CENTRE - SOLE PROPRIETORSHIP L.L.C. - BRANCH</t>
        </is>
      </c>
    </row>
    <row r="2908">
      <c r="B2908" s="22" t="inlineStr">
        <is>
          <t>MF3865 - GLAMOUR DENTAL LAB - L.L.C</t>
        </is>
      </c>
    </row>
    <row r="2909">
      <c r="B2909" s="22" t="inlineStr">
        <is>
          <t>MF3976 - MEDEOR 24X7 HOSPITAL - L.L.C.</t>
        </is>
      </c>
    </row>
    <row r="2910">
      <c r="B2910" s="22" t="inlineStr">
        <is>
          <t>MF3900 - LOOK WOW ONE DAY SURGERY - SOLE PROPRIETORSHIP L.L.C.</t>
        </is>
      </c>
    </row>
    <row r="2911">
      <c r="B2911" s="22" t="inlineStr">
        <is>
          <t>MF3938 - CROWN DENTAL CENTRE</t>
        </is>
      </c>
    </row>
    <row r="2912">
      <c r="B2912" s="22" t="inlineStr">
        <is>
          <t>MF4151 - EMIRATI CANADIAN HOME HEALTH CARE SERVICES - SOLE PROPRIETORSHIP L.L.C.</t>
        </is>
      </c>
    </row>
    <row r="2913">
      <c r="B2913" s="22" t="inlineStr">
        <is>
          <t xml:space="preserve">MF3954 - REEZER MEDICAL HOME HEALTH CARE </t>
        </is>
      </c>
    </row>
    <row r="2914">
      <c r="B2914" s="22" t="inlineStr">
        <is>
          <t>MF3972 - DR. GILBERT BOU RJEILY MEDICAL CENTRE L.L.C.</t>
        </is>
      </c>
    </row>
    <row r="2915">
      <c r="B2915" s="22" t="inlineStr">
        <is>
          <t>MF4015 - HANOVER MEDICAL SERVICES L.L.C.</t>
        </is>
      </c>
    </row>
    <row r="2916">
      <c r="B2916" s="22" t="inlineStr">
        <is>
          <t>MF4196 - FLORENC MEDICAL &amp; REHABILITATION CENTER L.L.C.</t>
        </is>
      </c>
    </row>
    <row r="2917">
      <c r="B2917" s="22" t="inlineStr">
        <is>
          <t>MF4023 - ARAB FRENCH HOME HEALTH CARE -SOLE PROPRIETORSHIP L.L.C</t>
        </is>
      </c>
    </row>
    <row r="2918">
      <c r="B2918" s="22" t="inlineStr">
        <is>
          <t>MF4026 - ORIENT MANAGEMENT CONSULTING &amp; TRAINING</t>
        </is>
      </c>
    </row>
    <row r="2919">
      <c r="B2919" s="22" t="inlineStr">
        <is>
          <t>MF4109 - PIONEERS MEDICAL CLINIC</t>
        </is>
      </c>
    </row>
    <row r="2920">
      <c r="B2920" s="22" t="inlineStr">
        <is>
          <t>MF4097 - AZURE MEDICAL CLINICS L.L.C.</t>
        </is>
      </c>
    </row>
    <row r="2921">
      <c r="B2921" s="22" t="inlineStr">
        <is>
          <t>MF4081 - PETROFAC EMIRATES L.L.C. CLINIC UZ750 PROJECT SOUTH ISLAND - ZADCO</t>
        </is>
      </c>
    </row>
    <row r="2922">
      <c r="B2922" s="22" t="inlineStr">
        <is>
          <t>MF4082 - PETROFAC EMIRATES L.L.C. CLINIC UZ750 PROJECT NORTH ISLAND - ZADCO</t>
        </is>
      </c>
    </row>
    <row r="2923">
      <c r="B2923" s="22" t="inlineStr">
        <is>
          <t>MF4092 - AL AMAL HEALTH CARE SERVICES</t>
        </is>
      </c>
    </row>
    <row r="2924">
      <c r="B2924" s="22" t="inlineStr">
        <is>
          <t>MF4150 - ONE TO ONE CHINESE ACUPUNCTURE CENTER</t>
        </is>
      </c>
    </row>
    <row r="2925">
      <c r="B2925" s="22" t="inlineStr">
        <is>
          <t>MF4149 - BURJEEL MEDICAL CENTRE ALMARINA -L.L.C</t>
        </is>
      </c>
    </row>
    <row r="2926">
      <c r="B2926" s="22" t="inlineStr">
        <is>
          <t>MF4128 - CANADIAN MEDICAL CENTRE AND COSMETIC SURGERY L.L.C.</t>
        </is>
      </c>
    </row>
    <row r="2927">
      <c r="B2927" s="22" t="inlineStr">
        <is>
          <t>MF4138 - FLORENCE POLYCLINIC MEDICAL L.L.C.</t>
        </is>
      </c>
    </row>
    <row r="2928">
      <c r="B2928" s="22" t="inlineStr">
        <is>
          <t>MF4177 - SKY DENTAL CENTER - SOLE PROPRIETORSHIP L.L.C</t>
        </is>
      </c>
    </row>
    <row r="2929">
      <c r="B2929" s="22" t="inlineStr">
        <is>
          <t>MF4140 - ARIANA MEDICAL CENTRE</t>
        </is>
      </c>
    </row>
    <row r="2930">
      <c r="B2930" s="22" t="inlineStr">
        <is>
          <t>MF4229 - AL NOOR MOBILE OCCUPATIONAL CLINIC</t>
        </is>
      </c>
    </row>
    <row r="2931">
      <c r="B2931" s="22" t="inlineStr">
        <is>
          <t>MF4217 - LLH HOSPITAL - IVF CENTRE</t>
        </is>
      </c>
    </row>
    <row r="2932">
      <c r="B2932" s="22" t="inlineStr">
        <is>
          <t>MF4269 - HEALTH AVENUE MEDICAL CENTER</t>
        </is>
      </c>
    </row>
    <row r="2933">
      <c r="B2933" s="22" t="inlineStr">
        <is>
          <t>MF4219 - SUMMER LAND MEDICAL CENTRE L.L.C.</t>
        </is>
      </c>
    </row>
    <row r="2934">
      <c r="B2934" s="22" t="inlineStr">
        <is>
          <t>MF4266 - AL ATAA &amp; AL RAHMA HOME HEALTH CARE CENTER</t>
        </is>
      </c>
    </row>
    <row r="2935">
      <c r="B2935" s="22" t="inlineStr">
        <is>
          <t>MF4366 - VITALITY MEDICAL CENTER - L.L.C - S.P.C</t>
        </is>
      </c>
    </row>
    <row r="2936">
      <c r="B2936" s="22" t="inlineStr">
        <is>
          <t>MF4354 - EXETER BONES &amp; JOINT CENTER L.L.C</t>
        </is>
      </c>
    </row>
    <row r="2937">
      <c r="B2937" s="22" t="inlineStr">
        <is>
          <t>MF4399 - HEALTH &amp; LIFE MEDICAL CENTER  BRANCH 7</t>
        </is>
      </c>
    </row>
    <row r="2938">
      <c r="B2938" s="22" t="inlineStr">
        <is>
          <t>MF4426 - WELL CARE MEDICAL CENTER L.L.C. - BRANCH1</t>
        </is>
      </c>
    </row>
    <row r="2939">
      <c r="B2939" s="22" t="inlineStr">
        <is>
          <t>MF4376 - READY HOME HEALTH CARE</t>
        </is>
      </c>
    </row>
    <row r="2940">
      <c r="B2940" s="22" t="inlineStr">
        <is>
          <t>MF4402 - MISBAH MEDICAL CENTER -L.L.C-O.P.C</t>
        </is>
      </c>
    </row>
    <row r="2941">
      <c r="B2941" s="22" t="inlineStr">
        <is>
          <t>MF4506 - SANTE HOME HEALTH CARE L L C</t>
        </is>
      </c>
    </row>
    <row r="2942">
      <c r="B2942" s="22" t="inlineStr">
        <is>
          <t>MF4406 - ALQASER ALAINY MEDICAL CENTRE</t>
        </is>
      </c>
    </row>
    <row r="2943">
      <c r="B2943" s="22" t="inlineStr">
        <is>
          <t>MF4439 - EASTERN MEDICAL CENTRE</t>
        </is>
      </c>
    </row>
    <row r="2944">
      <c r="B2944" s="22" t="inlineStr">
        <is>
          <t>MF4945 - LAVENDER ALTERNATIVE MEDICINE CENTER</t>
        </is>
      </c>
    </row>
    <row r="2945">
      <c r="B2945" s="22" t="inlineStr">
        <is>
          <t>MF4422 - HEALTH &amp; LIFE MEDICAL CENTER - BRANCH 10</t>
        </is>
      </c>
    </row>
    <row r="2946">
      <c r="B2946" s="22" t="inlineStr">
        <is>
          <t>MF4441 - ELROI MEDICAL SERVICES - L.L.C - O.P.C</t>
        </is>
      </c>
    </row>
    <row r="2947">
      <c r="B2947" s="22" t="inlineStr">
        <is>
          <t>MF4643 - POLICE ACADEMY CLINICS COMPLEX</t>
        </is>
      </c>
    </row>
    <row r="2948">
      <c r="B2948" s="22" t="inlineStr">
        <is>
          <t>MF4535 - PROFESSIONAL HOME MEDICAL HEALTH CARE</t>
        </is>
      </c>
    </row>
    <row r="2949">
      <c r="B2949" s="22" t="inlineStr">
        <is>
          <t>MF4613 - MANAZEL MEDICAL CITY HOSPITAL L.L.C.</t>
        </is>
      </c>
    </row>
    <row r="2950">
      <c r="B2950" s="22" t="inlineStr">
        <is>
          <t>MF4547 - ROYAL PLATINUM MEDICAL SERVICES LLC</t>
        </is>
      </c>
    </row>
    <row r="2951">
      <c r="B2951" s="22" t="inlineStr">
        <is>
          <t>MF4545 - ASTER MEDICAL CENTRE LLC - BRANCH 1</t>
        </is>
      </c>
    </row>
    <row r="2952">
      <c r="B2952" s="22" t="inlineStr">
        <is>
          <t>MF4558 - COVENT GARDEN MEDICAL CENTRE  L.L.C.</t>
        </is>
      </c>
    </row>
    <row r="2953">
      <c r="B2953" s="22" t="inlineStr">
        <is>
          <t>MF4505 - AL ABRAR HOME HEALTH CARE</t>
        </is>
      </c>
    </row>
    <row r="2954">
      <c r="B2954" s="22" t="inlineStr">
        <is>
          <t>MF4551 - SKY DENTAL CENTER - SOLE PROPRIETORSHIP L.L.C.  -  BRANCH 1</t>
        </is>
      </c>
    </row>
    <row r="2955">
      <c r="B2955" s="22" t="inlineStr">
        <is>
          <t>MF4663 - TRUE CARE HOME HEALTH CARE L.L.C</t>
        </is>
      </c>
    </row>
    <row r="2956">
      <c r="B2956" s="22" t="inlineStr">
        <is>
          <t>MF4592 - LONDON HOME MEDICAL AND HEALTH CARE</t>
        </is>
      </c>
    </row>
    <row r="2957">
      <c r="B2957" s="22" t="inlineStr">
        <is>
          <t>MF4596 - HEALTH AND LIFE MEDICAL CLINIC</t>
        </is>
      </c>
    </row>
    <row r="2958">
      <c r="B2958" s="22" t="inlineStr">
        <is>
          <t>MF4616 - MOBILE DECONTAMINATION UNIT 3</t>
        </is>
      </c>
    </row>
    <row r="2959">
      <c r="B2959" s="22" t="inlineStr">
        <is>
          <t>MF4593 - CREATIVE DENTAL CENTER - SOLE PROPRIETORSHIP L.C.C</t>
        </is>
      </c>
    </row>
    <row r="2960">
      <c r="B2960" s="22" t="inlineStr">
        <is>
          <t xml:space="preserve">MF4641 - MASTERS DENTAL AND AESTHETIC CENTRE L.L.C </t>
        </is>
      </c>
    </row>
    <row r="2961">
      <c r="B2961" s="22" t="inlineStr">
        <is>
          <t>MF4612 - MODERN INTEGRAL MEDICINE CENTER</t>
        </is>
      </c>
    </row>
    <row r="2962">
      <c r="B2962" s="22" t="inlineStr">
        <is>
          <t>MF4200 - TAJMEEL SPECIALIZED MEDICAL CENTER L.L.C - BRANCH</t>
        </is>
      </c>
    </row>
    <row r="2963">
      <c r="B2963" s="22" t="inlineStr">
        <is>
          <t>MF4688 - L A MEDICAL CENTRE L.L.C.</t>
        </is>
      </c>
    </row>
    <row r="2964">
      <c r="B2964" s="22" t="inlineStr">
        <is>
          <t>MF4686 - QEMMA AL KHIBRA HOME HEALTH SERVICES CENTER</t>
        </is>
      </c>
    </row>
    <row r="2965">
      <c r="B2965" s="22" t="inlineStr">
        <is>
          <t>MF4655 - SIRO DHARA INDIAN TRADITIONAL MEDICAL CENTRE L.L.C</t>
        </is>
      </c>
    </row>
    <row r="2966">
      <c r="B2966" s="22" t="inlineStr">
        <is>
          <t>MF4475 - ULTRA HEALTH CARE</t>
        </is>
      </c>
    </row>
    <row r="2967">
      <c r="B2967" s="22" t="inlineStr">
        <is>
          <t>MF4701 - THE BRITISH LASIK &amp; COSMETIC SURGERY CENTER L.L.C</t>
        </is>
      </c>
    </row>
    <row r="2968">
      <c r="B2968" s="22" t="inlineStr">
        <is>
          <t>MF4706 - LAURETTA MEDICAL CENTER - SOLE PROPRIETORSHIP L.L.C.</t>
        </is>
      </c>
    </row>
    <row r="2969">
      <c r="B2969" s="22" t="inlineStr">
        <is>
          <t>MF4774 - NIGHTINGALE HOME HEALTH CARE L.L.C. - BRANCH 1</t>
        </is>
      </c>
    </row>
    <row r="2970">
      <c r="B2970" s="22" t="inlineStr">
        <is>
          <t>MF4724 - BUHASA 1 MEDICAL CENTER</t>
        </is>
      </c>
    </row>
    <row r="2971">
      <c r="B2971" s="22" t="inlineStr">
        <is>
          <t>MF4833 - MAFSALI ORTHOPEDIC HOSPITAL L.L.C.</t>
        </is>
      </c>
    </row>
    <row r="2972">
      <c r="B2972" s="22" t="inlineStr">
        <is>
          <t>MF4768 - AESTHETIC DERMAL MEDICAL CENTRE L.L.C - BRANCH OF ABU DHABI 2</t>
        </is>
      </c>
    </row>
    <row r="2973">
      <c r="B2973" s="22" t="inlineStr">
        <is>
          <t>MF4758 - URGENT MEDICAL CENTER</t>
        </is>
      </c>
    </row>
    <row r="2974">
      <c r="B2974" s="22" t="inlineStr">
        <is>
          <t>MF4755 - HEALTH WAY MEDICAL SOLUTIONS FOR FACILITIES MANAGEMENT</t>
        </is>
      </c>
    </row>
    <row r="2975">
      <c r="B2975" s="22" t="inlineStr">
        <is>
          <t>MF4787 - LAKESHORE MEDICAL CENTER L.L.C.</t>
        </is>
      </c>
    </row>
    <row r="2976">
      <c r="B2976" s="22" t="inlineStr">
        <is>
          <t>MF4776 - SHROUQ AL SABAH MEDICAL CENTER</t>
        </is>
      </c>
    </row>
    <row r="2977">
      <c r="B2977" s="22" t="inlineStr">
        <is>
          <t>MF4775 - FAMOUS MEDICAL CENTRE - SOLE PROPRIETORSHIP L.L.C.</t>
        </is>
      </c>
    </row>
    <row r="2978">
      <c r="B2978" s="22" t="inlineStr">
        <is>
          <t>MF4779 - HEALTH TECH TRAINING CENTER L.L.C.</t>
        </is>
      </c>
    </row>
    <row r="2979">
      <c r="B2979" s="22" t="inlineStr">
        <is>
          <t>MF4827 - ACACIA MEDICAL CENTER</t>
        </is>
      </c>
    </row>
    <row r="2980">
      <c r="B2980" s="22" t="inlineStr">
        <is>
          <t>MF4832 - HEALTH CLEAR MEDICAL CENTER L.L.C.</t>
        </is>
      </c>
    </row>
    <row r="2981">
      <c r="B2981" s="22" t="inlineStr">
        <is>
          <t>MF4852 - BE WELL SPECIALIZED MEDICAL CENTER - L.L.C</t>
        </is>
      </c>
    </row>
    <row r="2982">
      <c r="B2982" s="22" t="inlineStr">
        <is>
          <t>MF4676 - GOLDEN SWAN MEDICAL CENTER</t>
        </is>
      </c>
    </row>
    <row r="2983">
      <c r="B2983" s="22" t="inlineStr">
        <is>
          <t>MF4877 - AL ABEER MANAGMENT &amp; MEDICAL L.L.C</t>
        </is>
      </c>
    </row>
    <row r="2984">
      <c r="B2984" s="22" t="inlineStr">
        <is>
          <t>MF4910 - HAVEN HOSPITAL</t>
        </is>
      </c>
    </row>
    <row r="2985">
      <c r="B2985" s="22" t="inlineStr">
        <is>
          <t>MF4889 - ALMUROJ MEDICAL CENTER - SOLE PROPRIETORSHIP L.L.C.</t>
        </is>
      </c>
    </row>
    <row r="2986">
      <c r="B2986" s="22" t="inlineStr">
        <is>
          <t>MF4903 - CAPITAL MEDICAL CENTRE FOR HEALTH SCREENING - L.L.C - O.P.C - BRANCH</t>
        </is>
      </c>
    </row>
    <row r="2987">
      <c r="B2987" s="22" t="inlineStr">
        <is>
          <t>MF4978 - THE DOCTORS MEDICAL CENTER L.L.C-  CORNICHE BR.</t>
        </is>
      </c>
    </row>
    <row r="2988">
      <c r="B2988" s="22" t="inlineStr">
        <is>
          <t>MF4951 - N M C ROYAL MEDICAL CENTRE L.L.C-BRANCH 1</t>
        </is>
      </c>
    </row>
    <row r="2989">
      <c r="B2989" s="22" t="inlineStr">
        <is>
          <t>MF4975 - AL HAYAT MEDICAL TRAINING AND AMBULANCE SERVICES</t>
        </is>
      </c>
    </row>
    <row r="2990">
      <c r="B2990" s="22" t="inlineStr">
        <is>
          <t>MF4991 - KIDS HEART MEDICAL CENTER LLC</t>
        </is>
      </c>
    </row>
    <row r="2991">
      <c r="B2991" s="22" t="inlineStr">
        <is>
          <t>MF4989 - TURBO DENTAL LAB - L.L.C - S.P.C</t>
        </is>
      </c>
    </row>
    <row r="2992">
      <c r="B2992" s="22" t="inlineStr">
        <is>
          <t>MF4985 - COPE MEDICAL CENTER - L.L.C</t>
        </is>
      </c>
    </row>
    <row r="2993">
      <c r="B2993" s="22" t="inlineStr">
        <is>
          <t>MF5094 - NOOR ALAHLIA MOBILE MEDICAL UNIT</t>
        </is>
      </c>
    </row>
    <row r="2994">
      <c r="B2994" s="22" t="inlineStr">
        <is>
          <t>MF5157 - SIMPLE WAY MEDICAL SERVICES</t>
        </is>
      </c>
    </row>
    <row r="2995">
      <c r="B2995" s="22" t="inlineStr">
        <is>
          <t>MF5080 - AL JABER EST. MEDICAL CLINIC - TARIF BRANCH</t>
        </is>
      </c>
    </row>
    <row r="2996">
      <c r="B2996" s="22" t="inlineStr">
        <is>
          <t>MF5139 - L A INTERNATIONAL CENTER ONE DAY SURGERY L.L.C.</t>
        </is>
      </c>
    </row>
    <row r="2997">
      <c r="B2997" s="22" t="inlineStr">
        <is>
          <t>MF5097 - ALBA SMILE MEDICAL CENTRE L.L.C. -  BRANCH</t>
        </is>
      </c>
    </row>
    <row r="2998">
      <c r="B2998" s="22" t="inlineStr">
        <is>
          <t>MF5113 - ALBARQ RECRUITMENT SERVICES LLC</t>
        </is>
      </c>
    </row>
    <row r="2999">
      <c r="B2999" s="22" t="inlineStr">
        <is>
          <t>MF5116 - BAB AL TEB MEDICAL CENTRE SOLE PROPRIETORSHIP L.L.C</t>
        </is>
      </c>
    </row>
    <row r="3000">
      <c r="B3000" s="22" t="inlineStr">
        <is>
          <t>MF5153 - NIGHTINGALE MANAGEMENT CONSULTANCY L.L.C.</t>
        </is>
      </c>
    </row>
    <row r="3001">
      <c r="B3001" s="22" t="inlineStr">
        <is>
          <t>MF5168 - REYADA MANAGEMENT OF MEDICAL FACILITIES L.L.C.</t>
        </is>
      </c>
    </row>
    <row r="3002">
      <c r="B3002" s="22" t="inlineStr">
        <is>
          <t xml:space="preserve">MF5214 - UNITED HOME HEALTH CARE PROVIDER  </t>
        </is>
      </c>
    </row>
    <row r="3003">
      <c r="B3003" s="22" t="inlineStr">
        <is>
          <t>MF5192 - DR ZAYNAB ALRAWY MEDICAL CENTER L.L.C</t>
        </is>
      </c>
    </row>
    <row r="3004">
      <c r="B3004" s="22" t="inlineStr">
        <is>
          <t>MF5196 - I CARE MEDICAL CENTRE L.L.C - BRANCH 1</t>
        </is>
      </c>
    </row>
    <row r="3005">
      <c r="B3005" s="22" t="inlineStr">
        <is>
          <t>MF5241 - SABA MEDICAL CENTER L.L.C     N</t>
        </is>
      </c>
    </row>
    <row r="3006">
      <c r="B3006" s="22" t="inlineStr">
        <is>
          <t>MF4158 - AL DANA DENTAL LAB</t>
        </is>
      </c>
    </row>
    <row r="3007">
      <c r="B3007" s="22" t="inlineStr">
        <is>
          <t>MF5245 - NEW FAMOUS MEDICAL CENTRE L.L.C.</t>
        </is>
      </c>
    </row>
    <row r="3008">
      <c r="B3008" s="22" t="inlineStr">
        <is>
          <t>MF5286 - BOURN HALL LLC - BRANCH OF ABU DHABI 7</t>
        </is>
      </c>
    </row>
    <row r="3009">
      <c r="B3009" s="22" t="inlineStr">
        <is>
          <t>MF5272 - JADARA CENTER FOR CHILDREN WITH DISABILITIES</t>
        </is>
      </c>
    </row>
    <row r="3010">
      <c r="B3010" s="22" t="inlineStr">
        <is>
          <t>MF5269 - SAHARA DENTAL LAB</t>
        </is>
      </c>
    </row>
    <row r="3011">
      <c r="B3011" s="22" t="inlineStr">
        <is>
          <t>MF4729 - STAR AL AHALIA MEDICAL CENTER L.L.C</t>
        </is>
      </c>
    </row>
    <row r="3012">
      <c r="B3012" s="22" t="inlineStr">
        <is>
          <t>MF5292 - HAMEEM MEDICAL CENTER - SOLE PROPRIETORSHIP L.L.C</t>
        </is>
      </c>
    </row>
    <row r="3013">
      <c r="B3013" s="22" t="inlineStr">
        <is>
          <t>MF5289 - FANCY CARE MEDICINE CLINIC</t>
        </is>
      </c>
    </row>
    <row r="3014">
      <c r="B3014" s="22" t="inlineStr">
        <is>
          <t>MF5322 - L A MEDICAL CENTRE L.L.C - BRANCH 1</t>
        </is>
      </c>
    </row>
    <row r="3015">
      <c r="B3015" s="22" t="inlineStr">
        <is>
          <t>MF5319 - NOVOMED CENTERS L.L.C -  BRANCH OF ABU DHABI</t>
        </is>
      </c>
    </row>
    <row r="3016">
      <c r="B3016" s="22" t="inlineStr">
        <is>
          <t>MF5355 - AL TAWEELAH MEDICAL CENTER L.L.C</t>
        </is>
      </c>
    </row>
    <row r="3017">
      <c r="B3017" s="22" t="inlineStr">
        <is>
          <t>MF5353 - AAMER HOME HEALTH CARE CENTER L.L.C. - BRANCH 1</t>
        </is>
      </c>
    </row>
    <row r="3018">
      <c r="B3018" s="22" t="inlineStr">
        <is>
          <t>MF5349 - WELLNESS CONCEPTS HEALTH CENTER</t>
        </is>
      </c>
    </row>
    <row r="3019">
      <c r="B3019" s="22" t="inlineStr">
        <is>
          <t>MF5360 - AL MAGD MEDICAL CENTER - SOLE PROPRIETORSHIP L.L.C</t>
        </is>
      </c>
    </row>
    <row r="3020">
      <c r="B3020" s="22" t="inlineStr">
        <is>
          <t>MF5352 - BOVARDIA MEDICAL CENTER</t>
        </is>
      </c>
    </row>
    <row r="3021">
      <c r="B3021" s="22" t="inlineStr">
        <is>
          <t>MF5358 - BURJEEL ORTHOPEDIC &amp; SPORTS MEDICINE CENTRE L.L.C</t>
        </is>
      </c>
    </row>
    <row r="3022">
      <c r="B3022" s="22" t="inlineStr">
        <is>
          <t>MF5078 - EXCELLENCE MEDICAL SERVICES</t>
        </is>
      </c>
    </row>
    <row r="3023">
      <c r="B3023" s="22" t="inlineStr">
        <is>
          <t xml:space="preserve">MF5396 - WHOLE CARE HOME HEALTH CARE </t>
        </is>
      </c>
    </row>
    <row r="3024">
      <c r="B3024" s="22" t="inlineStr">
        <is>
          <t>MF5392 - THE SPECIALIST DIABETES TREATMENT &amp; RESEARCH CENTRE ( IMPERIAL COLLEGE LONDON DIABETES CENTRE - MOBILE HEALTH UNIT - SOLE PROPRIETORSHIP L.L.C.</t>
        </is>
      </c>
    </row>
    <row r="3025">
      <c r="B3025" s="22" t="inlineStr">
        <is>
          <t>MF5420 - ROYAL STAR DENTAL LABORATORY- SOLE PROPRIETORSHIP L.L.C.</t>
        </is>
      </c>
    </row>
    <row r="3026">
      <c r="B3026" s="22" t="inlineStr">
        <is>
          <t>MF4652 -  HEALTHSHADES MEDICAL CENTRE L.L.C - S.P.C</t>
        </is>
      </c>
    </row>
    <row r="3027">
      <c r="B3027" s="22" t="inlineStr">
        <is>
          <t>MF4391 - AL MAMOON MEDICAL CENTER L.L.C.</t>
        </is>
      </c>
    </row>
    <row r="3028">
      <c r="B3028" s="22" t="inlineStr">
        <is>
          <t>MF4817 - SNO CLINICS SOLE PROPRIETORSHIP L.L.C.</t>
        </is>
      </c>
    </row>
    <row r="3029">
      <c r="B3029" s="22" t="inlineStr">
        <is>
          <t>MF5356 - LUMIERE SKIN CLINIC L.L.C. - BRANCH DELMA MALL</t>
        </is>
      </c>
    </row>
    <row r="3030">
      <c r="B3030" s="22" t="inlineStr">
        <is>
          <t>MF5453 - MULLAZAMA NURSING &amp; HOME HEALTH CARE - BRANCH 1</t>
        </is>
      </c>
    </row>
    <row r="3031">
      <c r="B3031" s="22" t="inlineStr">
        <is>
          <t>MF5469 - UNITEAM PRIMARY HEALTH CARE CENTER L.L.C.</t>
        </is>
      </c>
    </row>
    <row r="3032">
      <c r="B3032" s="22" t="inlineStr">
        <is>
          <t>MF5559 - A L D MEDICAL CLINIC - SOLE PROPRIETORSHIP L.L.C.</t>
        </is>
      </c>
    </row>
    <row r="3033">
      <c r="B3033" s="22" t="inlineStr">
        <is>
          <t>MF5506 - MEDLINK MEDICAL CENTRE</t>
        </is>
      </c>
    </row>
    <row r="3034">
      <c r="B3034" s="22" t="inlineStr">
        <is>
          <t>MF5493 - ALSULTAN CUPPING CENTRE</t>
        </is>
      </c>
    </row>
    <row r="3035">
      <c r="B3035" s="22" t="inlineStr">
        <is>
          <t>MF5509 - ACCURA AESTHETIC MEDICAL CENTER LLC</t>
        </is>
      </c>
    </row>
    <row r="3036">
      <c r="B3036" s="22" t="inlineStr">
        <is>
          <t>MF5539 - WELLNESS MEDICAL CENTER L.L.C.</t>
        </is>
      </c>
    </row>
    <row r="3037">
      <c r="B3037" s="22" t="inlineStr">
        <is>
          <t>MF5529 - ELITE CLASS DENTAL LABORATORY</t>
        </is>
      </c>
    </row>
    <row r="3038">
      <c r="B3038" s="22" t="inlineStr">
        <is>
          <t>MF4678 - G H M U MOBILE MEDICAL SERVICES - L.L.C -S.P.C</t>
        </is>
      </c>
    </row>
    <row r="3039">
      <c r="B3039" s="22" t="inlineStr">
        <is>
          <t>MF5516 - SMILE RITE DENTAL CARE L.L.C. - BRANCH 1</t>
        </is>
      </c>
    </row>
    <row r="3040">
      <c r="B3040" s="22" t="inlineStr">
        <is>
          <t>MF5599 - CHARISMA TOUCH MEDICAL CENTER - L.L.C - S.P.C</t>
        </is>
      </c>
    </row>
    <row r="3041">
      <c r="B3041" s="22" t="inlineStr">
        <is>
          <t>MF5578 - PLEDGE EMPLOYMENT SERVICES - SOLE PROPRIETORSHIP L.L.C.</t>
        </is>
      </c>
    </row>
    <row r="3042">
      <c r="B3042" s="22" t="inlineStr">
        <is>
          <t>MF5601 - CHINA PETROLEUM ENGINEERING &amp; CONSTRUCTION CORPORATION-ABU DHABI CLINIC BRANCH 1</t>
        </is>
      </c>
    </row>
    <row r="3043">
      <c r="B3043" s="22" t="inlineStr">
        <is>
          <t>MF5598 - Sheikh Shakbout Medical City L.L.C.-O.P.C.</t>
        </is>
      </c>
    </row>
    <row r="3044">
      <c r="B3044" s="22" t="inlineStr">
        <is>
          <t>MF1740 - TOP CARE MEDICAL CENTRE L.L.C</t>
        </is>
      </c>
    </row>
    <row r="3045">
      <c r="B3045" s="22" t="inlineStr">
        <is>
          <t>MF5627 - UNITEAM PRIMARY HEALTH CARE CENTER L.L.C. - BRANCH - ABU SAMRA</t>
        </is>
      </c>
    </row>
    <row r="3046">
      <c r="B3046" s="22" t="inlineStr">
        <is>
          <t>MF5654 - ALPHA TRAINING AND STRATEGIC MANAGEMENT - SOLE PROPRIETORSHIP L.L.C.</t>
        </is>
      </c>
    </row>
    <row r="3047">
      <c r="B3047" s="22" t="inlineStr">
        <is>
          <t>MF5676 - TABRIZI EXPRESS DENTISTRY L.L.C.</t>
        </is>
      </c>
    </row>
    <row r="3048">
      <c r="B3048" s="22" t="inlineStr">
        <is>
          <t>MF4615 - MOBILE DECONTAMINATION UNIT 2</t>
        </is>
      </c>
    </row>
    <row r="3049">
      <c r="B3049" s="22" t="inlineStr">
        <is>
          <t>MF5673 - BURJEEL JUDICIARY MEDICAL CENTRE L.L.C.</t>
        </is>
      </c>
    </row>
    <row r="3050">
      <c r="B3050" s="22" t="inlineStr">
        <is>
          <t>MF4631 - Health Premium Home Health Care Services Sole Proprietorship L.L.C.</t>
        </is>
      </c>
    </row>
    <row r="3051">
      <c r="B3051" s="22" t="inlineStr">
        <is>
          <t>MF5661 - LIFECARE CLINIC  L.L.C. - BRANCH.</t>
        </is>
      </c>
    </row>
    <row r="3052">
      <c r="B3052" s="22" t="inlineStr">
        <is>
          <t>MF3136 - EASTERN ALAHILI MEDICAL CENTER-SOLE PROPRIETORSHIP L.L.C.</t>
        </is>
      </c>
    </row>
    <row r="3053">
      <c r="B3053" s="22" t="inlineStr">
        <is>
          <t>MF4242 - EVER CARE MEDICAL CENTER - L.L.C - S.P.C</t>
        </is>
      </c>
    </row>
    <row r="3054">
      <c r="B3054" s="22" t="inlineStr">
        <is>
          <t>MF5678 - EVERLAST ACADEMY  - SOLE PROPRIETORSHIP L.L.C.</t>
        </is>
      </c>
    </row>
    <row r="3055">
      <c r="B3055" s="22" t="inlineStr">
        <is>
          <t>MF5724 - PRIME XPERTS CONSULTANCY &amp; TRAINING L.L.C.</t>
        </is>
      </c>
    </row>
    <row r="3056">
      <c r="B3056" s="22" t="inlineStr">
        <is>
          <t>MF3244 - KARACHI MEDICAL POLY CLINIC</t>
        </is>
      </c>
    </row>
    <row r="3057">
      <c r="B3057" s="22" t="inlineStr">
        <is>
          <t>MF5723 - AMANA VILLAGE HEALTHCARE L.L.C</t>
        </is>
      </c>
    </row>
    <row r="3058">
      <c r="B3058" s="22" t="inlineStr">
        <is>
          <t>MF5354 - TOUCH OF HEALTH REHABILITATION CENTER. L.L.C.</t>
        </is>
      </c>
    </row>
    <row r="3059">
      <c r="B3059" s="22" t="inlineStr">
        <is>
          <t>MF2447 - ISLAND FALCONS MEDICAL SUPPLIES SOLE PROPRIETORSHIP L.L.C</t>
        </is>
      </c>
    </row>
    <row r="3060">
      <c r="B3060" s="22" t="inlineStr">
        <is>
          <t>MF7018 - AL NARGES SCHOOL - SOLE PROPRIETORSHIP L.L.C.</t>
        </is>
      </c>
    </row>
    <row r="3061">
      <c r="B3061" s="22" t="inlineStr">
        <is>
          <t>MF7003 - TRUELIFE SPECIALTY HOSPITAL - SOLE PROPRIETORSHIP L.L.C.</t>
        </is>
      </c>
    </row>
    <row r="3062">
      <c r="B3062" s="22" t="inlineStr">
        <is>
          <t>MF7054 - RAJAB CARGO SERVICES L.L.C.</t>
        </is>
      </c>
    </row>
    <row r="3063">
      <c r="B3063" s="22" t="inlineStr">
        <is>
          <t>MF7059 - HQ TUNNEL CLINIC</t>
        </is>
      </c>
    </row>
    <row r="3064">
      <c r="B3064" s="22" t="inlineStr">
        <is>
          <t>MF7098 - DHL GLOBAL FORWARDING ABU DHABI L.L.C.</t>
        </is>
      </c>
    </row>
    <row r="3065">
      <c r="B3065" s="22" t="inlineStr">
        <is>
          <t>MF7078 - RIVOLI EYE ZONE (BRANCH OF MAGRABI OPTICAL COMPANY (L.L.C) - BRANCH OF ABU DHABI - ALWAHDA MALL 1</t>
        </is>
      </c>
    </row>
    <row r="3066">
      <c r="B3066" s="22" t="inlineStr">
        <is>
          <t>MF7070 - GH MEDICAL CENTER L.L.C L.L.C.</t>
        </is>
      </c>
    </row>
    <row r="3067">
      <c r="B3067" s="22" t="inlineStr">
        <is>
          <t>MF7072 - HEALTH FOR ALL MEDICAL CENTER</t>
        </is>
      </c>
    </row>
    <row r="3068">
      <c r="B3068" s="22" t="inlineStr">
        <is>
          <t>MF7077 - MARINA MEDICAL CENTRE L.L.C.</t>
        </is>
      </c>
    </row>
    <row r="3069">
      <c r="B3069" s="22" t="inlineStr">
        <is>
          <t>MF7110 - FUTURE LEADERS INTERNATIONAL PRIVATE SCHOOL L.L.C.BRANCH 1 CLINIC</t>
        </is>
      </c>
    </row>
    <row r="3070">
      <c r="B3070" s="22" t="inlineStr">
        <is>
          <t>MF7120 - CHALLENGE MEDICAL CENTER L L C</t>
        </is>
      </c>
    </row>
    <row r="3071">
      <c r="B3071" s="22" t="inlineStr">
        <is>
          <t>MF7122 - HALEK LE HAMEK REMOTE MEDICAL CONSULTANCY</t>
        </is>
      </c>
    </row>
    <row r="3072">
      <c r="B3072" s="22" t="inlineStr">
        <is>
          <t>MF7142 - Tolerance schools-Baniyas East</t>
        </is>
      </c>
    </row>
    <row r="3073">
      <c r="B3073" s="22" t="inlineStr">
        <is>
          <t>MF7164 - THAT CLINIC PSYCHIATRY CLINIC -SOLE PROPRIETORSHIP L.L.C</t>
        </is>
      </c>
    </row>
    <row r="3074">
      <c r="B3074" s="22" t="inlineStr">
        <is>
          <t>MF7201 - YATEEM OPTICS - BRANCH</t>
        </is>
      </c>
    </row>
    <row r="3075">
      <c r="B3075" s="22" t="inlineStr">
        <is>
          <t>MF7206 - SHEIKH KHALIFA ENERGY CLINIC -  2</t>
        </is>
      </c>
    </row>
    <row r="3076">
      <c r="B3076" s="22" t="inlineStr">
        <is>
          <t>MF7243 - PURE LAB MEDICAL ANALYSIS L L C</t>
        </is>
      </c>
    </row>
    <row r="3077">
      <c r="B3077" s="22" t="inlineStr">
        <is>
          <t>MF7254 - ARZANA PRIVATE SCHOOL  - SOLE PROPRIETORSHIP L.L.C.</t>
        </is>
      </c>
    </row>
    <row r="3078">
      <c r="B3078" s="22" t="inlineStr">
        <is>
          <t xml:space="preserve">MF7258 - DUBAI SMILE DENTAL CLINIC L.L.C.- Branch </t>
        </is>
      </c>
    </row>
    <row r="3079">
      <c r="B3079" s="22" t="inlineStr">
        <is>
          <t>MF4626 - BURJEEL ROYAL HOSPITAL L.L.C.</t>
        </is>
      </c>
    </row>
    <row r="3080">
      <c r="B3080" s="22" t="inlineStr">
        <is>
          <t>MF2457 - CLEVELAND CLINIC ABUDHABI - SOLE PROPRIETORSHIP L.L.C.</t>
        </is>
      </c>
    </row>
    <row r="3081">
      <c r="B3081" s="22" t="inlineStr">
        <is>
          <t>MF7302 - Novel Medical Center</t>
        </is>
      </c>
    </row>
    <row r="3082">
      <c r="B3082" s="22" t="inlineStr">
        <is>
          <t>MF7340 - ERGONOMIC CARE PEOPLE OF DETERMINATION L.L.C.</t>
        </is>
      </c>
    </row>
    <row r="3083">
      <c r="B3083" s="22" t="inlineStr">
        <is>
          <t>MF7345 - Abu Dhabi International Airport COVID19 Screening Laboratory</t>
        </is>
      </c>
    </row>
    <row r="3084">
      <c r="B3084" s="22" t="inlineStr">
        <is>
          <t>MF7353 - SUNRISE INTERNATIONAL SCHOOL SOLE PROPRIETORSHIP L.L.C.</t>
        </is>
      </c>
    </row>
    <row r="3085">
      <c r="B3085" s="22" t="inlineStr">
        <is>
          <t>MF7368 - Tahnoun bin Mohammed Education Complex- Applied Technology High School -Al Ain- Girls Clinic</t>
        </is>
      </c>
    </row>
    <row r="3086">
      <c r="B3086" s="22" t="inlineStr">
        <is>
          <t>MF7371 - Tahnoun bin Mohammed Education Complex- Applied Technology High School -Al Ain Al-  Boys Clinic</t>
        </is>
      </c>
    </row>
    <row r="3087">
      <c r="B3087" s="22" t="inlineStr">
        <is>
          <t>MF7065 - MAMLAKAT AL JAMAL MEDICAL CENTER - L.L.C - O.P.C</t>
        </is>
      </c>
    </row>
    <row r="3088">
      <c r="B3088" s="22" t="inlineStr">
        <is>
          <t>MF7385 - Al Jazirah Institute of Science and Technology Clinic - Abu Dhabi</t>
        </is>
      </c>
    </row>
    <row r="3089">
      <c r="B3089" s="22" t="inlineStr">
        <is>
          <t>MF7384 - THE BRIDGE WELLNESS HUB CLUB NUTRITION CENTER L.L.C</t>
        </is>
      </c>
    </row>
    <row r="3090">
      <c r="B3090" s="22" t="inlineStr">
        <is>
          <t>MF7398 - Derma HQ Clinic L.L.C.</t>
        </is>
      </c>
    </row>
    <row r="3091">
      <c r="B3091" s="22" t="inlineStr">
        <is>
          <t>MF7406 - SnapCare Mobile Clinic</t>
        </is>
      </c>
    </row>
    <row r="3092">
      <c r="B3092" s="22" t="inlineStr">
        <is>
          <t>MF7407 - SAIPEM ABU DHABI CLINIC</t>
        </is>
      </c>
    </row>
    <row r="3093">
      <c r="B3093" s="22" t="inlineStr">
        <is>
          <t>MF7470 - APEX TECHNOLOGY DENTAL LAB L.L.C.</t>
        </is>
      </c>
    </row>
    <row r="3094">
      <c r="B3094" s="22" t="inlineStr">
        <is>
          <t xml:space="preserve">MF7477 - INTERNATIONAL COMMUNITY SCHOOLS L.L.C. - BRANCH - NURSERY CLINIC </t>
        </is>
      </c>
    </row>
    <row r="3095">
      <c r="B3095" s="22" t="inlineStr">
        <is>
          <t>MF7521 - AFFLELOU</t>
        </is>
      </c>
    </row>
    <row r="3096">
      <c r="B3096" s="22" t="inlineStr">
        <is>
          <t>MF7542 - ALDAR ACADEMIES AL YASMINA BRITISH ACADEMY (NURSERY) -L.L.C - S.P.C</t>
        </is>
      </c>
    </row>
    <row r="3097">
      <c r="B3097" s="22" t="inlineStr">
        <is>
          <t>MF7544 - ABU DHABI THEME PARKS - SOLE PROPRIETORSHIP L.L.C.</t>
        </is>
      </c>
    </row>
    <row r="3098">
      <c r="B3098" s="22" t="inlineStr">
        <is>
          <t>MF7546 - BIN THANI MAINTENANCE &amp; GENERAL SERVICES ESTABLISHMENT</t>
        </is>
      </c>
    </row>
    <row r="3099">
      <c r="B3099" s="22" t="inlineStr">
        <is>
          <t>MF7549 - AL QURM SCHOOL - SOLE PROPRIETORSHIP L.L.C.</t>
        </is>
      </c>
    </row>
    <row r="3100">
      <c r="B3100" s="22" t="inlineStr">
        <is>
          <t>MF7551 - LENSKART OPTICAL TRADING L.L.C - BRANCH OF ABU DHABI 1</t>
        </is>
      </c>
    </row>
    <row r="3101">
      <c r="B3101" s="22" t="inlineStr">
        <is>
          <t>MF2066 - MADINAT ZAYED HOSPITAL</t>
        </is>
      </c>
    </row>
    <row r="3102">
      <c r="B3102" s="22" t="inlineStr">
        <is>
          <t>MF7568 - SANIMED INTERNATIONAL LAB AND MANAGEMENT L.L.C. - BRANCH 01</t>
        </is>
      </c>
    </row>
    <row r="3103">
      <c r="B3103" s="22" t="inlineStr">
        <is>
          <t>MF7611 - AHL AL TAB MEDICAL CLINIC - SOLE PROPRIETORSHIP L.L.C.</t>
        </is>
      </c>
    </row>
    <row r="3104">
      <c r="B3104" s="22" t="inlineStr">
        <is>
          <t>MF7610 - AL SDAQA MEDICAL CLINIC SOLE PROPRIETORSHIP LLC</t>
        </is>
      </c>
    </row>
    <row r="3105">
      <c r="B3105" s="22" t="inlineStr">
        <is>
          <t>MF4617 - DR. AHMED ABU SHARIA MEDICAL CENTRE - L.L.C - BRANCH</t>
        </is>
      </c>
    </row>
    <row r="3106">
      <c r="B3106" s="22" t="inlineStr">
        <is>
          <t>MF7629 - Hisn Al Dhafra Medical Center</t>
        </is>
      </c>
    </row>
    <row r="3107">
      <c r="B3107" s="22" t="inlineStr">
        <is>
          <t>MF7652 - AD - 165</t>
        </is>
      </c>
    </row>
    <row r="3108">
      <c r="B3108" s="22" t="inlineStr">
        <is>
          <t>MF7673 - LLH CLINIC L.L.C. - BRANCH</t>
        </is>
      </c>
    </row>
    <row r="3109">
      <c r="B3109" s="22" t="inlineStr">
        <is>
          <t>MF7049 - LAVISH MEDICAL CENTER</t>
        </is>
      </c>
    </row>
    <row r="3110">
      <c r="B3110" s="22" t="inlineStr">
        <is>
          <t>MF7727 - SHUWEIHAT C M S INTERNATIONAL POWER</t>
        </is>
      </c>
    </row>
    <row r="3111">
      <c r="B3111" s="22" t="inlineStr">
        <is>
          <t>MF3135 - Heart Beat Medical Center &amp; One day Surgery L.L.C.</t>
        </is>
      </c>
    </row>
    <row r="3112">
      <c r="B3112" s="22" t="inlineStr">
        <is>
          <t>MF7781 - AL FALAH ACADEMY - AL AIN</t>
        </is>
      </c>
    </row>
    <row r="3113">
      <c r="B3113" s="22" t="inlineStr">
        <is>
          <t>MF7780 - AL FALAH ACADEMY - ABU DHABI</t>
        </is>
      </c>
    </row>
    <row r="3114">
      <c r="B3114" s="22" t="inlineStr">
        <is>
          <t>MF7788 - NORD ANGLIA INTERNATIONAL SCHOOL   L.L.C.</t>
        </is>
      </c>
    </row>
    <row r="3115">
      <c r="B3115" s="22" t="inlineStr">
        <is>
          <t>MF7794 - AL QEYAM SCHOOL - SOLE PROPRIETORSHIP L.L.C.</t>
        </is>
      </c>
    </row>
    <row r="3116">
      <c r="B3116" s="22" t="inlineStr">
        <is>
          <t>MF7796 - CAPITAL MEDICAL CENTRE FOR HEALTH SCREENING - L.L.C - O.P.C - BRANCH-</t>
        </is>
      </c>
    </row>
    <row r="3117">
      <c r="B3117" s="22" t="inlineStr">
        <is>
          <t>MF7288 - BRIDGE CENTRE FOR REHABILITATION</t>
        </is>
      </c>
    </row>
    <row r="3118">
      <c r="B3118" s="22" t="inlineStr">
        <is>
          <t>MF7825 - ZOOM DENTAL  LABORATORY - L.L.C - O.P.C</t>
        </is>
      </c>
    </row>
    <row r="3119">
      <c r="B3119" s="22" t="inlineStr">
        <is>
          <t>MF206 - CITY DENTAL AND MEDICAL CENTER - L.L.C - S.P.C</t>
        </is>
      </c>
    </row>
    <row r="3120">
      <c r="B3120" s="22" t="inlineStr">
        <is>
          <t>MF7830 - ALAIN PHARMACY GROUP - SOLE PROPRIETORSHIP L.L.C.</t>
        </is>
      </c>
    </row>
    <row r="3121">
      <c r="B3121" s="22" t="inlineStr">
        <is>
          <t>MF4777 - EXCELLENT MEDICAL CENTER - SOLE PROPRIETORSHIP L.L.C.</t>
        </is>
      </c>
    </row>
    <row r="3122">
      <c r="B3122" s="22" t="inlineStr">
        <is>
          <t>MF7856 - OXFORD TREATMENT CONTRACTING SERVICES - L.L.C - O.P.C</t>
        </is>
      </c>
    </row>
    <row r="3123">
      <c r="B3123" s="22" t="inlineStr">
        <is>
          <t>MF7871 - CODE BLUE MEDICAL SERVICES - L.L.C - S.P.C</t>
        </is>
      </c>
    </row>
    <row r="3124">
      <c r="B3124" s="22" t="inlineStr">
        <is>
          <t>MF7929 - AD - 219</t>
        </is>
      </c>
    </row>
    <row r="3125">
      <c r="B3125" s="22" t="inlineStr">
        <is>
          <t xml:space="preserve">MF7950 - MAD MEDICAL COMPLEX - L.L.C </t>
        </is>
      </c>
    </row>
    <row r="3126">
      <c r="B3126" s="22" t="inlineStr">
        <is>
          <t>MF7958 - Mayram Bint Omran School Clinic – Sole Proprietorship L L C</t>
        </is>
      </c>
    </row>
    <row r="3127">
      <c r="B3127" s="22" t="inlineStr">
        <is>
          <t>MF7962 - H M C  LABORATORY  - L.L.C - O.P.C</t>
        </is>
      </c>
    </row>
    <row r="3128">
      <c r="B3128" s="22" t="inlineStr">
        <is>
          <t>MF7964 - ASIA PRIDE CLINIC</t>
        </is>
      </c>
    </row>
    <row r="3129">
      <c r="B3129" s="22" t="inlineStr">
        <is>
          <t xml:space="preserve">MF7967 - Tamouh Emirates Humanitarian City Medical Center </t>
        </is>
      </c>
    </row>
    <row r="3130">
      <c r="B3130" s="22" t="inlineStr">
        <is>
          <t>MF7975 - OPTICAL GALLERY L.L.C.</t>
        </is>
      </c>
    </row>
    <row r="3131">
      <c r="B3131" s="22" t="inlineStr">
        <is>
          <t>MF8011 - SOLUTION DENTAL LAB -L.L.C - S.P.C</t>
        </is>
      </c>
    </row>
    <row r="3132">
      <c r="B3132" s="22" t="inlineStr">
        <is>
          <t>MF8017 - ELC RETAIL L.L.C - BRANCH OF ABU DHABI</t>
        </is>
      </c>
    </row>
    <row r="3133">
      <c r="B3133" s="22" t="inlineStr">
        <is>
          <t>MF8035 - AD - 234 Clinic</t>
        </is>
      </c>
    </row>
    <row r="3134">
      <c r="B3134" s="22" t="inlineStr">
        <is>
          <t>MF8095 - AL FALAH ACADEMY - AL DANAH</t>
        </is>
      </c>
    </row>
    <row r="3135">
      <c r="B3135" s="22" t="inlineStr">
        <is>
          <t>MF8076 - AD-224 Clinic</t>
        </is>
      </c>
    </row>
    <row r="3136">
      <c r="B3136" s="22" t="inlineStr">
        <is>
          <t xml:space="preserve">MF8042 - DISEASE PREVENTION AND SCREENING CENTER-ALAAMERAH </t>
        </is>
      </c>
    </row>
    <row r="3137">
      <c r="B3137" s="22" t="inlineStr">
        <is>
          <t>MF8053 - BURJEEL MEDICAL CENTRE  SAADIYAT - L.L.C</t>
        </is>
      </c>
    </row>
    <row r="3138">
      <c r="B3138" s="22" t="inlineStr">
        <is>
          <t>MF8121 - VYTHIRI AYURVEDA MEDICAL CENTRE     - L.L.C - S.P.C</t>
        </is>
      </c>
    </row>
    <row r="3139">
      <c r="B3139" s="22" t="inlineStr">
        <is>
          <t>MF7996 - VEDA AYURVEDIC MEDICAL CENTER - L.L.C</t>
        </is>
      </c>
    </row>
    <row r="3140">
      <c r="B3140" s="22" t="inlineStr">
        <is>
          <t>MF8196 - AL GHAD NURSERIES - BANI YAS 1 - L.L.C - S.P.C Clinic</t>
        </is>
      </c>
    </row>
    <row r="3141">
      <c r="B3141" s="22" t="inlineStr">
        <is>
          <t>MF8089 - TADAWI CUPPING TREATMENT CENTER - L.L.C - O.P.C</t>
        </is>
      </c>
    </row>
    <row r="3142">
      <c r="B3142" s="22" t="inlineStr">
        <is>
          <t>MF8231 - SUNGLASS HUT MIDDLE EAST OPTICALS L.L.C</t>
        </is>
      </c>
    </row>
    <row r="3143">
      <c r="B3143" s="22" t="inlineStr">
        <is>
          <t xml:space="preserve">MF1140 - LLH MEDICAL CENTRE ALDHAFRA - L.L.C </t>
        </is>
      </c>
    </row>
    <row r="3144">
      <c r="B3144" s="22" t="inlineStr">
        <is>
          <t>MF8345 - SYNERGY HEALTHCARE FACILITIES MANAGEMENT - L.L.C</t>
        </is>
      </c>
    </row>
    <row r="3145">
      <c r="B3145" s="22" t="inlineStr">
        <is>
          <t>MF8179 - TONES COSMETIC AND LASER CLINIC - L.L.C</t>
        </is>
      </c>
    </row>
    <row r="3146">
      <c r="B3146" s="22" t="inlineStr">
        <is>
          <t>MF8397 - NMC Mowj Early Intervention Medical Centre L.L.C</t>
        </is>
      </c>
    </row>
    <row r="3147">
      <c r="B3147" s="22" t="inlineStr">
        <is>
          <t>MF8134 - NEB ACCOMODATION CLINIC</t>
        </is>
      </c>
    </row>
    <row r="3148">
      <c r="B3148" s="22" t="inlineStr">
        <is>
          <t>MF8093 - ALGHASN TREATMENT OF DERMATOLOG - L.L.C - S.P.C</t>
        </is>
      </c>
    </row>
    <row r="3149">
      <c r="B3149" s="22" t="inlineStr">
        <is>
          <t xml:space="preserve">MF8236 - CLINIC OF ALAIN PHARMACY - SOLE PROPRIETORSHIP L.L.C. - BRANCH 33 </t>
        </is>
      </c>
    </row>
    <row r="3150">
      <c r="B3150" s="22" t="inlineStr">
        <is>
          <t>MF8239 - COSMPOLITAN MEDICAL CENTRE  - SOLE PROPRIETORSHIP L.L.C. - BRANCH</t>
        </is>
      </c>
    </row>
    <row r="3151">
      <c r="B3151" s="22" t="inlineStr">
        <is>
          <t>MF8265 - FOUR YOU DERMATOLOGY CLINIC-L.L.C -S.P.C</t>
        </is>
      </c>
    </row>
    <row r="3152">
      <c r="B3152" s="22" t="inlineStr">
        <is>
          <t>MF8463 - JADARA CENTER FOR REHABILITION PEOPLE OF DETERMINATION</t>
        </is>
      </c>
    </row>
    <row r="3153">
      <c r="B3153" s="22" t="inlineStr">
        <is>
          <t>MF8505 - Al Ittihad School Clinic</t>
        </is>
      </c>
    </row>
    <row r="3154">
      <c r="B3154" s="22" t="inlineStr">
        <is>
          <t>MF8603 - AL MANAHEL PRIVATE SCHOOL  L.L.C.</t>
        </is>
      </c>
    </row>
    <row r="3155">
      <c r="B3155" s="22" t="inlineStr">
        <is>
          <t>MF8634 - WELLMED MEDICAL COMPLEX - L.L.C - S.P.C</t>
        </is>
      </c>
    </row>
    <row r="3156">
      <c r="B3156" s="22" t="inlineStr">
        <is>
          <t>MF1854 - UPDATE MEDICAL DENTAL POLYCLINIC UMDC - SOLE PROPRIETORSHIP L.L.C</t>
        </is>
      </c>
    </row>
    <row r="3157">
      <c r="B3157" s="22" t="inlineStr">
        <is>
          <t>MF1093 - SAMA ALSHAM DENTAL &amp; MEDICAL CENTER - L.L.C</t>
        </is>
      </c>
    </row>
    <row r="3158">
      <c r="B3158" s="22" t="inlineStr">
        <is>
          <t>MF2246 - UNIVERSAL SPECIALTY MEDICAL CENTER</t>
        </is>
      </c>
    </row>
    <row r="3159">
      <c r="B3159" s="22" t="inlineStr">
        <is>
          <t>MF2430 - Future Rehabilitation Centre</t>
        </is>
      </c>
    </row>
    <row r="3160">
      <c r="B3160" s="22" t="inlineStr">
        <is>
          <t>MF1931 - THE SPECIALIST DIABETES TREATMENT &amp; RESEARCH CENTRE (Imperial College London Diabetes &amp; Endocrine Centre) – L.L.C - S.P.C</t>
        </is>
      </c>
    </row>
    <row r="3161">
      <c r="B3161" s="22" t="inlineStr">
        <is>
          <t>MF841 - TIBA DENTAL CENTRE</t>
        </is>
      </c>
    </row>
    <row r="3162">
      <c r="B3162" s="22" t="inlineStr">
        <is>
          <t>MF571 - SWISS DENTAL MEDICAL CENTRE LLC</t>
        </is>
      </c>
    </row>
    <row r="3163">
      <c r="B3163" s="22" t="inlineStr">
        <is>
          <t>MF1669 - TALAT MEDICAL CENTRE NEW AL MUSAFFAH</t>
        </is>
      </c>
    </row>
    <row r="3164">
      <c r="B3164" s="22" t="inlineStr">
        <is>
          <t>MF463 - SPECIALITY INTERNATIONAL  MED. CENTRE</t>
        </is>
      </c>
    </row>
    <row r="3165">
      <c r="B3165" s="22" t="inlineStr">
        <is>
          <t>MF2326 - REVIERA MEDICAL CENTRE  - SOLE PROPRIETORSHIP L.L.C.</t>
        </is>
      </c>
    </row>
    <row r="3166">
      <c r="B3166" s="22" t="inlineStr">
        <is>
          <t>MF2040 - AL BAHIA HEALTHCARE CENTER</t>
        </is>
      </c>
    </row>
    <row r="3167">
      <c r="B3167" s="22" t="inlineStr">
        <is>
          <t>MF1940 - RUSSIAN EYE CLINIC</t>
        </is>
      </c>
    </row>
    <row r="3168">
      <c r="B3168" s="22" t="inlineStr">
        <is>
          <t>MF439 - AL DHANNAH HOSPITAL</t>
        </is>
      </c>
    </row>
    <row r="3169">
      <c r="B3169" s="22" t="inlineStr">
        <is>
          <t>MF2332 - ROYAL BANGKOK HOSPITAL - LLC</t>
        </is>
      </c>
    </row>
    <row r="3170">
      <c r="B3170" s="22" t="inlineStr">
        <is>
          <t>MF2505 - PREMIUM HOME HEALTH CARE SERVICES</t>
        </is>
      </c>
    </row>
    <row r="3171">
      <c r="B3171" s="22" t="inlineStr">
        <is>
          <t>MF2441 - OSA MEDICAL HOSPITAL</t>
        </is>
      </c>
    </row>
    <row r="3172">
      <c r="B3172" s="22" t="inlineStr">
        <is>
          <t>MF1551 - NOOR ALQOUA MEDICAL CENTER</t>
        </is>
      </c>
    </row>
    <row r="3173">
      <c r="B3173" s="22" t="inlineStr">
        <is>
          <t>MF1796 - ONE TOUCH DENTAL WORKSHOP</t>
        </is>
      </c>
    </row>
    <row r="3174">
      <c r="B3174" s="22" t="inlineStr">
        <is>
          <t>MF2304 - NEW AL SALAM CENTRE FOR ORTHODONTICS AND DENTAL - L.L.C - S.P.C</t>
        </is>
      </c>
    </row>
    <row r="3175">
      <c r="B3175" s="22" t="inlineStr">
        <is>
          <t>MF73 - NAJE MEDICAL COMPLEX</t>
        </is>
      </c>
    </row>
    <row r="3176">
      <c r="B3176" s="22" t="inlineStr">
        <is>
          <t>MF385 - NATIONAL MARINE DREDGING CO. CLINIC</t>
        </is>
      </c>
    </row>
    <row r="3177">
      <c r="B3177" s="22" t="inlineStr">
        <is>
          <t>MF622 - MODERN MEDICAL LASER CENTRE</t>
        </is>
      </c>
    </row>
    <row r="3178">
      <c r="B3178" s="22" t="inlineStr">
        <is>
          <t>MF1962 - MONALISA DENTAL CENTER L.L.C.</t>
        </is>
      </c>
    </row>
    <row r="3179">
      <c r="B3179" s="22" t="inlineStr">
        <is>
          <t>MF1893 - MODERN AL SALAM ORTHODONTIC &amp; DENTAL CENTER</t>
        </is>
      </c>
    </row>
    <row r="3180">
      <c r="B3180" s="22" t="inlineStr">
        <is>
          <t>MF2345 - MEDIC HEALTH CARE CENTER</t>
        </is>
      </c>
    </row>
    <row r="3181">
      <c r="B3181" s="22" t="inlineStr">
        <is>
          <t>MF2384 - Al Manhal Healthcare Center</t>
        </is>
      </c>
    </row>
    <row r="3182">
      <c r="B3182" s="22" t="inlineStr">
        <is>
          <t>MF1304 - MARIBEL DENTAL CENTRE - SOLE PROPRIETORSHIP L.L.C.</t>
        </is>
      </c>
    </row>
    <row r="3183">
      <c r="B3183" s="22" t="inlineStr">
        <is>
          <t>MF308 - KHALEEJ CLINIC</t>
        </is>
      </c>
    </row>
    <row r="3184">
      <c r="B3184" s="22" t="inlineStr">
        <is>
          <t>MF311 - KHALIDA LATIFI MEDICAL CLINIC</t>
        </is>
      </c>
    </row>
    <row r="3185">
      <c r="B3185" s="22" t="inlineStr">
        <is>
          <t>MF312 - KHALIFA MEDICAL CENTRE</t>
        </is>
      </c>
    </row>
    <row r="3186">
      <c r="B3186" s="22" t="inlineStr">
        <is>
          <t>MF1032 - KHULOOD MEDICAL CLINIC</t>
        </is>
      </c>
    </row>
    <row r="3187">
      <c r="B3187" s="22" t="inlineStr">
        <is>
          <t>MF1695 - ISMAIL ABU AZAB GENERAL SURGERY CLINIC - L L C</t>
        </is>
      </c>
    </row>
    <row r="3188">
      <c r="B3188" s="22" t="inlineStr">
        <is>
          <t>MF480 - KALLOOR DENTAL CLINIC</t>
        </is>
      </c>
    </row>
    <row r="3189">
      <c r="B3189" s="22" t="inlineStr">
        <is>
          <t>MF2240 - INTRA LASER-MEDICAL CENTER - SOLE PROPRIETORSHIP L.L.C</t>
        </is>
      </c>
    </row>
    <row r="3190">
      <c r="B3190" s="22" t="inlineStr">
        <is>
          <t>MF1505 - DUO PRIME CARE MEDICAL CENTER - SOLE PROPRIETORSHIP L.L.C.</t>
        </is>
      </c>
    </row>
    <row r="3191">
      <c r="B3191" s="22" t="inlineStr">
        <is>
          <t>MF341 - HEALTH CARE INTERNATIONAL CENTRE</t>
        </is>
      </c>
    </row>
    <row r="3192">
      <c r="B3192" s="22" t="inlineStr">
        <is>
          <t>MF2065 - GHIATHY HOSPITAL</t>
        </is>
      </c>
    </row>
    <row r="3193">
      <c r="B3193" s="22" t="inlineStr">
        <is>
          <t>MF2480 - DUBAI SMILE DENTAL CLINIC - BRANCH</t>
        </is>
      </c>
    </row>
    <row r="3194">
      <c r="B3194" s="22" t="inlineStr">
        <is>
          <t>MF2353 - EMERATES HEART CENTER - INTER-PLASTIC BY COSMETIC SURGERY -DERMATOLOGY &amp; LASER - SOLE PROPRIETORS</t>
        </is>
      </c>
    </row>
    <row r="3195">
      <c r="B3195" s="22" t="inlineStr">
        <is>
          <t>MF1205 - EMIRATES CRESCENT SPEC. TREATMENT CENTRE</t>
        </is>
      </c>
    </row>
    <row r="3196">
      <c r="B3196" s="22" t="inlineStr">
        <is>
          <t>MF670 - DR SABAH AL SAKBAN MEDICAL CENTER - L.L.C</t>
        </is>
      </c>
    </row>
    <row r="3197">
      <c r="B3197" s="22" t="inlineStr">
        <is>
          <t>MF551 - DR. SHAMSA CLINIC</t>
        </is>
      </c>
    </row>
    <row r="3198">
      <c r="B3198" s="22" t="inlineStr">
        <is>
          <t>MF472 - DR. TABRIZI DENTAL CLINIC</t>
        </is>
      </c>
    </row>
    <row r="3199">
      <c r="B3199" s="22" t="inlineStr">
        <is>
          <t>MF255 - DR.GEORGE EL SAYEH MEDICAL CLINIC</t>
        </is>
      </c>
    </row>
    <row r="3200">
      <c r="B3200" s="22" t="inlineStr">
        <is>
          <t>MF48 - DR.NAJWA ALKOTANI MEDICAL CENTRE</t>
        </is>
      </c>
    </row>
    <row r="3201">
      <c r="B3201" s="22" t="inlineStr">
        <is>
          <t>MF1028 - DR. MAGDY MARIE DENTIAL CLINIC</t>
        </is>
      </c>
    </row>
    <row r="3202">
      <c r="B3202" s="22" t="inlineStr">
        <is>
          <t>MF379 - DR. NADA MOHTY SAKSOUK CLINIC</t>
        </is>
      </c>
    </row>
    <row r="3203">
      <c r="B3203" s="22" t="inlineStr">
        <is>
          <t>MF627 - DR. NASSER MEDICAL CLINIC</t>
        </is>
      </c>
    </row>
    <row r="3204">
      <c r="B3204" s="22" t="inlineStr">
        <is>
          <t>MF161 - DR. AMAL BIYALI CENTER</t>
        </is>
      </c>
    </row>
    <row r="3205">
      <c r="B3205" s="22" t="inlineStr">
        <is>
          <t>MF630 - DR. ASIA CLINIC</t>
        </is>
      </c>
    </row>
    <row r="3206">
      <c r="B3206" s="22" t="inlineStr">
        <is>
          <t>MF629 - DR. AYSHA MEDICAL CLINIC</t>
        </is>
      </c>
    </row>
    <row r="3207">
      <c r="B3207" s="22" t="inlineStr">
        <is>
          <t>MF2129 - DOMANIAL DERMATOLOGY CLINIC</t>
        </is>
      </c>
    </row>
    <row r="3208">
      <c r="B3208" s="22" t="inlineStr">
        <is>
          <t>MF785 - CITY PHYSIOTHERAPY CENTRE</t>
        </is>
      </c>
    </row>
    <row r="3209">
      <c r="B3209" s="22" t="inlineStr">
        <is>
          <t>MF793 - COMPREHENSIVE  DENTAL  MEDICAL CLINIC</t>
        </is>
      </c>
    </row>
    <row r="3210">
      <c r="B3210" s="22" t="inlineStr">
        <is>
          <t>MF196 - CARE WELL MEDICAL CENTRE - LLC</t>
        </is>
      </c>
    </row>
    <row r="3211">
      <c r="B3211" s="22" t="inlineStr">
        <is>
          <t>MF1977 - SNO WELLNESS MEDICAL CENTER - SOLE PROPRIETORSHIP L.L.C. - BRANCH</t>
        </is>
      </c>
    </row>
    <row r="3212">
      <c r="B3212" s="22" t="inlineStr">
        <is>
          <t>MF193 - British Dental Medical Center L.L.C</t>
        </is>
      </c>
    </row>
    <row r="3213">
      <c r="B3213" s="22" t="inlineStr">
        <is>
          <t>MF842 - BUDGET MEDICAL CENTRE</t>
        </is>
      </c>
    </row>
    <row r="3214">
      <c r="B3214" s="22" t="inlineStr">
        <is>
          <t>MF2039 - Beda Al Mutawa Medical Center</t>
        </is>
      </c>
    </row>
    <row r="3215">
      <c r="B3215" s="22" t="inlineStr">
        <is>
          <t>MF674 - BANIYAS ALAHLI MEDICAL CENTRE LLC</t>
        </is>
      </c>
    </row>
    <row r="3216">
      <c r="B3216" s="22" t="inlineStr">
        <is>
          <t>MF302 - BANIYAS CLINIC</t>
        </is>
      </c>
    </row>
    <row r="3217">
      <c r="B3217" s="22" t="inlineStr">
        <is>
          <t>MF2425 - AL DAR CENTER - YAS MANAGED BY LLH HOSPITAL LLC</t>
        </is>
      </c>
    </row>
    <row r="3218">
      <c r="B3218" s="22" t="inlineStr">
        <is>
          <t>MF2414 - ALSHAYAA HOSPITAL</t>
        </is>
      </c>
    </row>
    <row r="3219">
      <c r="B3219" s="22" t="inlineStr">
        <is>
          <t>MF2504 - Ambulance Department - ADCDA</t>
        </is>
      </c>
    </row>
    <row r="3220">
      <c r="B3220" s="22" t="inlineStr">
        <is>
          <t>MF1528 - ALQATTARA MEDICAL CENTER</t>
        </is>
      </c>
    </row>
    <row r="3221">
      <c r="B3221" s="22" t="inlineStr">
        <is>
          <t>MF1512 - ALFARAJ MEDICAL CLINIC</t>
        </is>
      </c>
    </row>
    <row r="3222">
      <c r="B3222" s="22" t="inlineStr">
        <is>
          <t>MF141 - AL SHANTI CLINIC</t>
        </is>
      </c>
    </row>
    <row r="3223">
      <c r="B3223" s="22" t="inlineStr">
        <is>
          <t>MF2485 - AL TAIE MEDICAL CENTER LLC</t>
        </is>
      </c>
    </row>
    <row r="3224">
      <c r="B3224" s="22" t="inlineStr">
        <is>
          <t>MF2308 - AL TAWAYA MEDICAL CENTER</t>
        </is>
      </c>
    </row>
    <row r="3225">
      <c r="B3225" s="22" t="inlineStr">
        <is>
          <t>MF1401 - ALTOMOH AL MUTAMAYIZ MEDICAL CENTER L.L.C</t>
        </is>
      </c>
    </row>
    <row r="3226">
      <c r="B3226" s="22" t="inlineStr">
        <is>
          <t>MF2507 - AL RAFIDAIN MEDICAL CENTER- LLC</t>
        </is>
      </c>
    </row>
    <row r="3227">
      <c r="B3227" s="22" t="inlineStr">
        <is>
          <t>MF95 - AL MAHDI MEDICAL CLINIC</t>
        </is>
      </c>
    </row>
    <row r="3228">
      <c r="B3228" s="22" t="inlineStr">
        <is>
          <t>MF1034 - MEDICAL CLINIC OF AL JABER ESTABLISHMENT</t>
        </is>
      </c>
    </row>
    <row r="3229">
      <c r="B3229" s="22" t="inlineStr">
        <is>
          <t>MF81 - AL JAHWARI MEDICAL CENTRE</t>
        </is>
      </c>
    </row>
    <row r="3230">
      <c r="B3230" s="22" t="inlineStr">
        <is>
          <t>MF85 - AL JAZEERA MEDICAL CENTRE</t>
        </is>
      </c>
    </row>
    <row r="3231">
      <c r="B3231" s="22" t="inlineStr">
        <is>
          <t>MF611 - AL ITIFAQ MEDICAL CENTRE</t>
        </is>
      </c>
    </row>
    <row r="3232">
      <c r="B3232" s="22" t="inlineStr">
        <is>
          <t>MF651 - AL DHAHERI MEDICAL CENTER</t>
        </is>
      </c>
    </row>
    <row r="3233">
      <c r="B3233" s="22" t="inlineStr">
        <is>
          <t>MF49 - AL BADAWI MEDICAL CENTER L.L.C.</t>
        </is>
      </c>
    </row>
    <row r="3234">
      <c r="B3234" s="22" t="inlineStr">
        <is>
          <t>MF2182 - AL AIN ENGLISH SPEAKING SCHOOL - SOLE PROPRIETORSHIP L.L.C. CLINIC</t>
        </is>
      </c>
    </row>
    <row r="3235">
      <c r="B3235" s="22" t="inlineStr">
        <is>
          <t>MF680 - ABDULLAH MEDICAL CLINIC</t>
        </is>
      </c>
    </row>
    <row r="3236">
      <c r="B3236" s="22" t="inlineStr">
        <is>
          <t>MF1177 - ABU DHABI CHINESE MEDICAL CLINIC</t>
        </is>
      </c>
    </row>
    <row r="3237">
      <c r="B3237" s="22" t="inlineStr">
        <is>
          <t>MF2468 - ABU DHABI KNEE AND SPORTS MEDICINE HOSPITAL</t>
        </is>
      </c>
    </row>
    <row r="3238">
      <c r="B3238" s="22" t="inlineStr">
        <is>
          <t>MF17 - ABU DHABI OIL COMPANY. LIMITED - JAPAN-  CLINIC</t>
        </is>
      </c>
    </row>
    <row r="3239">
      <c r="B3239" s="22" t="inlineStr">
        <is>
          <t>MF2529 - AESTHETIC SKIN CARE CENTRE - BRANCH</t>
        </is>
      </c>
    </row>
    <row r="3240">
      <c r="B3240" s="22" t="inlineStr">
        <is>
          <t>MF2557 - AL AIN INTERCONTINENTAL HOTEL CLINIC</t>
        </is>
      </c>
    </row>
    <row r="3241">
      <c r="B3241" s="22" t="inlineStr">
        <is>
          <t>MF2977 - EMIRATES GERMAN HOSPITAL</t>
        </is>
      </c>
    </row>
    <row r="3242">
      <c r="B3242" s="22" t="inlineStr">
        <is>
          <t>MF3002 - HARLEY STREET MEDICAL CENTER  L L C</t>
        </is>
      </c>
    </row>
    <row r="3243">
      <c r="B3243" s="22" t="inlineStr">
        <is>
          <t>MF2523 - LIFELINE POLYCLINIC L.L.C</t>
        </is>
      </c>
    </row>
    <row r="3244">
      <c r="B3244" s="22" t="inlineStr">
        <is>
          <t>MF2958 - THE HEALTH MEDICAL SERVICES L.L.C</t>
        </is>
      </c>
    </row>
    <row r="3245">
      <c r="B3245" s="22" t="inlineStr">
        <is>
          <t>MF2934 - UNIVERSAL HOSPITAL - L L C</t>
        </is>
      </c>
    </row>
    <row r="3246">
      <c r="B3246" s="22" t="inlineStr">
        <is>
          <t>MF2955 - DAWAT ALSHIFA HOSPITAL</t>
        </is>
      </c>
    </row>
    <row r="3247">
      <c r="B3247" s="22" t="inlineStr">
        <is>
          <t>MF3092 - Canadian Medical Center</t>
        </is>
      </c>
    </row>
    <row r="3248">
      <c r="B3248" s="22" t="inlineStr">
        <is>
          <t>MF3020 - EUROPEAN HOSPITAL</t>
        </is>
      </c>
    </row>
    <row r="3249">
      <c r="B3249" s="22" t="inlineStr">
        <is>
          <t>MF3119 - SEHA Kidney Care Center - Abu Dhabi</t>
        </is>
      </c>
    </row>
    <row r="3250">
      <c r="B3250" s="22" t="inlineStr">
        <is>
          <t>MF3118 - VLCC INTERNATIONAL L.L.C- BRANCH ABU DHABI 3</t>
        </is>
      </c>
    </row>
    <row r="3251">
      <c r="B3251" s="22" t="inlineStr">
        <is>
          <t>MF926 - AL JAWHARA SPE. MEDICAL CENTRE</t>
        </is>
      </c>
    </row>
    <row r="3252">
      <c r="B3252" s="22" t="inlineStr">
        <is>
          <t>MF3173 - NATIONAL REHABILITATION CENTRE</t>
        </is>
      </c>
    </row>
    <row r="3253">
      <c r="B3253" s="22" t="inlineStr">
        <is>
          <t>MF1947 - NEURON SPECIALIZED NEUROLOGY CLINIC</t>
        </is>
      </c>
    </row>
    <row r="3254">
      <c r="B3254" s="22" t="inlineStr">
        <is>
          <t>MF1370 - HOMEOPATHIC MEDICAL  SPECIALIZED CLINIC</t>
        </is>
      </c>
    </row>
    <row r="3255">
      <c r="B3255" s="22" t="inlineStr">
        <is>
          <t>MF2535 - SEHA MOBILE CLINIC 2</t>
        </is>
      </c>
    </row>
    <row r="3256">
      <c r="B3256" s="22" t="inlineStr">
        <is>
          <t>MF1739 - TRACE TRANSPORTING ESTABLISHMENT CLINIC</t>
        </is>
      </c>
    </row>
    <row r="3257">
      <c r="B3257" s="22" t="inlineStr">
        <is>
          <t>MF2341 - ASPEN MEDICAL ASSISTANCE - L.L.C</t>
        </is>
      </c>
    </row>
    <row r="3258">
      <c r="B3258" s="22" t="inlineStr">
        <is>
          <t>MF2082 - SCHOOL HEALTH (E.M.R)</t>
        </is>
      </c>
    </row>
    <row r="3259">
      <c r="B3259" s="22" t="inlineStr">
        <is>
          <t>MF2007 - SHEIKH KHALIFA MEDICAL CITY</t>
        </is>
      </c>
    </row>
    <row r="3260">
      <c r="B3260" s="22" t="inlineStr">
        <is>
          <t>MF2399 - INTERNATIONAL SPECALIZED FOR CHILDREN CENTER</t>
        </is>
      </c>
    </row>
    <row r="3261">
      <c r="B3261" s="22" t="inlineStr">
        <is>
          <t>MF1955 - IRAQ DENTAL AND ORTHODONTIC CENTER</t>
        </is>
      </c>
    </row>
    <row r="3262">
      <c r="B3262" s="22" t="inlineStr">
        <is>
          <t>MF2477 - FALCK MEDICAL SERVICES- LLC</t>
        </is>
      </c>
    </row>
    <row r="3263">
      <c r="B3263" s="22" t="inlineStr">
        <is>
          <t>MF1359 - FATIMA MEDICAL CENTER L.L.C.</t>
        </is>
      </c>
    </row>
    <row r="3264">
      <c r="B3264" s="22" t="inlineStr">
        <is>
          <t>MF1267 - DR FIRAS DENTAL AND ORTHODONTIC CENTER LLC - O.P.C</t>
        </is>
      </c>
    </row>
    <row r="3265">
      <c r="B3265" s="22" t="inlineStr">
        <is>
          <t>MF1 - DR. ABDUL AZIZ CLINIC</t>
        </is>
      </c>
    </row>
    <row r="3266">
      <c r="B3266" s="22" t="inlineStr">
        <is>
          <t>MF1877 - DODSAL ENGINEERING AND CONSTRUCTION PTE . LIMITED-ABU DHABI</t>
        </is>
      </c>
    </row>
    <row r="3267">
      <c r="B3267" s="22" t="inlineStr">
        <is>
          <t>MF137 - DANA MEDICAL CENTER L.L.C</t>
        </is>
      </c>
    </row>
    <row r="3268">
      <c r="B3268" s="22" t="inlineStr">
        <is>
          <t>MF1356 - AL- KHAIR DENTAL LABORATORY</t>
        </is>
      </c>
    </row>
    <row r="3269">
      <c r="B3269" s="22" t="inlineStr">
        <is>
          <t>MF76 - AL HYATT HOSPITAL LLC</t>
        </is>
      </c>
    </row>
    <row r="3270">
      <c r="B3270" s="22" t="inlineStr">
        <is>
          <t>MF1251 - AL FAIHAA OBSTETRIC AND GYNECOLOGY CONSULTANT CLINIC</t>
        </is>
      </c>
    </row>
    <row r="3271">
      <c r="B3271" s="22" t="inlineStr">
        <is>
          <t>MF1654 - AL AIN INTERNATIONAL HOSPITAL</t>
        </is>
      </c>
    </row>
    <row r="3272">
      <c r="B3272" s="22" t="inlineStr">
        <is>
          <t>MF2314 - NMC ROYAL MEDICAL CLINIC LLC - BRANCH 1</t>
        </is>
      </c>
    </row>
    <row r="3273">
      <c r="B3273" s="22" t="inlineStr">
        <is>
          <t>MF2319 - ABDULLA AHMAD AL OTAIBA SPECIALIZED HOSPITAL</t>
        </is>
      </c>
    </row>
    <row r="3274">
      <c r="B3274" s="22" t="inlineStr">
        <is>
          <t>MF2948 - Domanial Oasis One Day Surgery Center</t>
        </is>
      </c>
    </row>
    <row r="3275">
      <c r="B3275" s="22" t="inlineStr">
        <is>
          <t>MF2999 - DR KHALED AL EISAEI MEDICAL CENTER</t>
        </is>
      </c>
    </row>
    <row r="3276">
      <c r="B3276" s="22" t="inlineStr">
        <is>
          <t>MF3076 - ABU DHABI MOTOR SPORTS MANAGEMENT -LLC CLINIC</t>
        </is>
      </c>
    </row>
    <row r="3277">
      <c r="B3277" s="22" t="inlineStr">
        <is>
          <t>MF3037 - DOCTOR ATIQUR RAHMAN POLYCLINIC LLC</t>
        </is>
      </c>
    </row>
    <row r="3278">
      <c r="B3278" s="22" t="inlineStr">
        <is>
          <t>MF3063 - CLINIC DODSAL ENGG. CONST. LTD - MIRFA BRANCH</t>
        </is>
      </c>
    </row>
    <row r="3279">
      <c r="B3279" s="22" t="inlineStr">
        <is>
          <t>MF3081 - ROYAL CARE MEDICAL CENTRE - L.L.C - S.P.C</t>
        </is>
      </c>
    </row>
    <row r="3280">
      <c r="B3280" s="22" t="inlineStr">
        <is>
          <t>MF3123 - UAE UNIVERSITY CLINICS BUILDING 80 CLINIC</t>
        </is>
      </c>
    </row>
    <row r="3281">
      <c r="B3281" s="22" t="inlineStr">
        <is>
          <t>MF2564 - AL BUSTAN BRIGHT MEDICAL CENTER - L.L.C - S.P.C</t>
        </is>
      </c>
    </row>
    <row r="3282">
      <c r="B3282" s="22" t="inlineStr">
        <is>
          <t>MF2543 - DANTY DENTAL LABORATORY - SLOE PROPRIETORSHIP L.L.C</t>
        </is>
      </c>
    </row>
    <row r="3283">
      <c r="B3283" s="22" t="inlineStr">
        <is>
          <t>MF3174 - Welfare Physiotherapy Center L.L.C</t>
        </is>
      </c>
    </row>
    <row r="3284">
      <c r="B3284" s="22" t="inlineStr">
        <is>
          <t>MF3160 - MEDIGATE HEALTH TREATMENT UNDERTAKINGS SERVICES LLC</t>
        </is>
      </c>
    </row>
    <row r="3285">
      <c r="B3285" s="22" t="inlineStr">
        <is>
          <t>MF371 - SHADI COSMO DENTAL CENTER L.L.C L.L.C.</t>
        </is>
      </c>
    </row>
    <row r="3286">
      <c r="B3286" s="22" t="inlineStr">
        <is>
          <t>MF3206 - SEHA KIDNEY CARE - AL MARFA HOSPITAL</t>
        </is>
      </c>
    </row>
    <row r="3287">
      <c r="B3287" s="22" t="inlineStr">
        <is>
          <t>MF3214 - CARE CENTER FOR PHYSICAL THERAPY</t>
        </is>
      </c>
    </row>
    <row r="3288">
      <c r="B3288" s="22" t="inlineStr">
        <is>
          <t>MF3221 - BANIYAS FOR HELATH PLANNING &amp; CONSULTANCY ESTABLISHMENT</t>
        </is>
      </c>
    </row>
    <row r="3289">
      <c r="B3289" s="22" t="inlineStr">
        <is>
          <t>MF3226 - CEDARS MEDICAL CENTER L.L.C.</t>
        </is>
      </c>
    </row>
    <row r="3290">
      <c r="B3290" s="22" t="inlineStr">
        <is>
          <t>MF3254 - ELIXIR AESTHETIC MEDICAL POLYCLINIC</t>
        </is>
      </c>
    </row>
    <row r="3291">
      <c r="B3291" s="22" t="inlineStr">
        <is>
          <t>MF3267 - BAGHDAD PHYSIC CLINIC</t>
        </is>
      </c>
    </row>
    <row r="3292">
      <c r="B3292" s="22" t="inlineStr">
        <is>
          <t>MF3310 - ARABIC CANADIAN MEDICAL CENTER</t>
        </is>
      </c>
    </row>
    <row r="3293">
      <c r="B3293" s="22" t="inlineStr">
        <is>
          <t>MF532 - GULF CLINIC</t>
        </is>
      </c>
    </row>
    <row r="3294">
      <c r="B3294" s="22" t="inlineStr">
        <is>
          <t>MF963 - DR HIKMAT MATTAR MEDICAL CLINIC</t>
        </is>
      </c>
    </row>
    <row r="3295">
      <c r="B3295" s="22" t="inlineStr">
        <is>
          <t>MF1713 - BRITISH EMIRATES SPECIALIZED HOSPITAL</t>
        </is>
      </c>
    </row>
    <row r="3296">
      <c r="B3296" s="22" t="inlineStr">
        <is>
          <t>MF2493 - ALL EMIRATES MEDICAL EDUCATION &amp; DEVELOPMENT</t>
        </is>
      </c>
    </row>
    <row r="3297">
      <c r="B3297" s="22" t="inlineStr">
        <is>
          <t>MF1072 - AL MASHAL DENTAL CLINIC</t>
        </is>
      </c>
    </row>
    <row r="3298">
      <c r="B3298" s="22" t="inlineStr">
        <is>
          <t>MF1806 - AL MOHAIRY SPECIALIZED HOSPITAL</t>
        </is>
      </c>
    </row>
    <row r="3299">
      <c r="B3299" s="22" t="inlineStr">
        <is>
          <t>MF2256 - ROYAL HOSPITAL</t>
        </is>
      </c>
    </row>
    <row r="3300">
      <c r="B3300" s="22" t="inlineStr">
        <is>
          <t>MF1329 - PETRA MEDICAL CARE CENTRE</t>
        </is>
      </c>
    </row>
    <row r="3301">
      <c r="B3301" s="22" t="inlineStr">
        <is>
          <t>MF1102 - MERHI DENTAL ORTHODONTIC CENTER L.L.C.</t>
        </is>
      </c>
    </row>
    <row r="3302">
      <c r="B3302" s="22" t="inlineStr">
        <is>
          <t>MF820 - ALI MEDICAL CLINIC</t>
        </is>
      </c>
    </row>
    <row r="3303">
      <c r="B3303" s="22" t="inlineStr">
        <is>
          <t>MF2574 - MANAGERS FOR HEALTH SPECIALIZED HOSPITAL</t>
        </is>
      </c>
    </row>
    <row r="3304">
      <c r="B3304" s="22" t="inlineStr">
        <is>
          <t>MF2522 - SEHA EMIRATES HOSPITAL L.L.C</t>
        </is>
      </c>
    </row>
    <row r="3305">
      <c r="B3305" s="22" t="inlineStr">
        <is>
          <t xml:space="preserve">MF2387 - Al Zafaranah Diagnostic &amp; Screening Center </t>
        </is>
      </c>
    </row>
    <row r="3306">
      <c r="B3306" s="22" t="inlineStr">
        <is>
          <t>MF2315 - YAMAMA DENTAL CLINIC</t>
        </is>
      </c>
    </row>
    <row r="3307">
      <c r="B3307" s="22" t="inlineStr">
        <is>
          <t>MF275 - NOOR SMILE MEDICAL CENTER L.L.C.</t>
        </is>
      </c>
    </row>
    <row r="3308">
      <c r="B3308" s="22" t="inlineStr">
        <is>
          <t>MF769 - FUTURE MEDICAL CENTRE L.L.C</t>
        </is>
      </c>
    </row>
    <row r="3309">
      <c r="B3309" s="22" t="inlineStr">
        <is>
          <t>MF2451 - DR.ABDUL RAHIM JAFFAR HOSPITAL</t>
        </is>
      </c>
    </row>
    <row r="3310">
      <c r="B3310" s="22" t="inlineStr">
        <is>
          <t>MF1125 - BAYNUNAH DENTAL CLINIC- SOLE PROPRIETORSHIP L.L.C.</t>
        </is>
      </c>
    </row>
    <row r="3311">
      <c r="B3311" s="22" t="inlineStr">
        <is>
          <t>MF2467 - HEALTH POINT HOSPITAL - L.L.C- O.P.C</t>
        </is>
      </c>
    </row>
    <row r="3312">
      <c r="B3312" s="22" t="inlineStr">
        <is>
          <t>MF1438 - ALMAHA MEDICAL CENTRE</t>
        </is>
      </c>
    </row>
    <row r="3313">
      <c r="B3313" s="22" t="inlineStr">
        <is>
          <t>MF1307 - AL- SHOROUQ'S CENTRE FOR MASSAGE</t>
        </is>
      </c>
    </row>
    <row r="3314">
      <c r="B3314" s="22" t="inlineStr">
        <is>
          <t>MF554 - AL RAAYA SPECIALIZED MEDICAL CENTER - SOLE PROPRIETORSHIP L.L.C</t>
        </is>
      </c>
    </row>
    <row r="3315">
      <c r="B3315" s="22" t="inlineStr">
        <is>
          <t>MF103 - AL MARFA AL AHLI MEDICAL CENTRE</t>
        </is>
      </c>
    </row>
    <row r="3316">
      <c r="B3316" s="22" t="inlineStr">
        <is>
          <t>MF2099 - Al Hayer HealthCare Center</t>
        </is>
      </c>
    </row>
    <row r="3317">
      <c r="B3317" s="22" t="inlineStr">
        <is>
          <t>MF960 - AL GHADEER SPECIALIZED MEDICAL CENTRE</t>
        </is>
      </c>
    </row>
    <row r="3318">
      <c r="B3318" s="22" t="inlineStr">
        <is>
          <t>MF2991 - AL JABER EST MEDICAL CLINIC - SHAH BRANCH</t>
        </is>
      </c>
    </row>
    <row r="3319">
      <c r="B3319" s="22" t="inlineStr">
        <is>
          <t>MF2539 - AL BASHAIR HOSPITAL ONE DAY SURGERY</t>
        </is>
      </c>
    </row>
    <row r="3320">
      <c r="B3320" s="22" t="inlineStr">
        <is>
          <t>MF2965 - GHANTOUT TRANSPORTATING &amp; GENERAL CONTRACTING ESTABLISHMENT CLINIC</t>
        </is>
      </c>
    </row>
    <row r="3321">
      <c r="B3321" s="22" t="inlineStr">
        <is>
          <t>MF2573 - LABOTEL CLINIC</t>
        </is>
      </c>
    </row>
    <row r="3322">
      <c r="B3322" s="22" t="inlineStr">
        <is>
          <t>MF2962 - ALNOOR REHAPLATION FOR SPECIAL NEEDS CENTRE</t>
        </is>
      </c>
    </row>
    <row r="3323">
      <c r="B3323" s="22" t="inlineStr">
        <is>
          <t>MF2928 - BAAYA DENTAL CLINIC</t>
        </is>
      </c>
    </row>
    <row r="3324">
      <c r="B3324" s="22" t="inlineStr">
        <is>
          <t>MF3028 - Mobile Service Unit For People with Special Needs</t>
        </is>
      </c>
    </row>
    <row r="3325">
      <c r="B3325" s="22" t="inlineStr">
        <is>
          <t>MF3175 - Welfare Medical Center L.L.C</t>
        </is>
      </c>
    </row>
    <row r="3326">
      <c r="B3326" s="22" t="inlineStr">
        <is>
          <t xml:space="preserve">MF201 - AL RAZI CITY MEDICAL CENTER L.L.C </t>
        </is>
      </c>
    </row>
    <row r="3327">
      <c r="B3327" s="22" t="inlineStr">
        <is>
          <t>MF3229 - NOOR KASHMIR MEDICAL CENTER L.L.C</t>
        </is>
      </c>
    </row>
    <row r="3328">
      <c r="B3328" s="22" t="inlineStr">
        <is>
          <t>MF3327 - PRIMA MEDICAL POLYCLINIC L.L.C</t>
        </is>
      </c>
    </row>
    <row r="3329">
      <c r="B3329" s="22" t="inlineStr">
        <is>
          <t>MF3331 - ADVANCED CENTER FOR DAY CARE SURGERY L.L.C</t>
        </is>
      </c>
    </row>
    <row r="3330">
      <c r="B3330" s="22" t="inlineStr">
        <is>
          <t>MF3108 - Kaya skin care clinic -  sole proprietorship L.L.C- Mushrif Mall Branch</t>
        </is>
      </c>
    </row>
    <row r="3331">
      <c r="B3331" s="22" t="inlineStr">
        <is>
          <t>MF368 - DR MUNIR SILWADI DENTAL CENTRE - SOLE PROPRIETORSHIP L.L.C</t>
        </is>
      </c>
    </row>
    <row r="3332">
      <c r="B3332" s="22" t="inlineStr">
        <is>
          <t>MF3509 - ROYAL CARE MEDICAL CENTRE - L.L.C - S.P.C - BRANCH 1</t>
        </is>
      </c>
    </row>
    <row r="3333">
      <c r="B3333" s="22" t="inlineStr">
        <is>
          <t>MF3535 - AMANA HEALTHCARE MEDICAL AND REHABILITATION HOSPITAL L.L.C.</t>
        </is>
      </c>
    </row>
    <row r="3334">
      <c r="B3334" s="22" t="inlineStr">
        <is>
          <t xml:space="preserve">MF3679 - EMIRATES INTERNATIONAL CENTER FOR GENOMIC MEDICINE AND NEUROSCIENCE  </t>
        </is>
      </c>
    </row>
    <row r="3335">
      <c r="B3335" s="22" t="inlineStr">
        <is>
          <t>MF3552 - ASAB MEDICAL CENTER</t>
        </is>
      </c>
    </row>
    <row r="3336">
      <c r="B3336" s="22" t="inlineStr">
        <is>
          <t>MF3641 - STAR DIAGNOSTIC CENTRE</t>
        </is>
      </c>
    </row>
    <row r="3337">
      <c r="B3337" s="22" t="inlineStr">
        <is>
          <t>MF3601 - Archer Dental &amp; Dermatology Center LLC</t>
        </is>
      </c>
    </row>
    <row r="3338">
      <c r="B3338" s="22" t="inlineStr">
        <is>
          <t>MF4133 - GULF CENTER FOR AVIATION STUDIES - GCAS</t>
        </is>
      </c>
    </row>
    <row r="3339">
      <c r="B3339" s="22" t="inlineStr">
        <is>
          <t>MF3606 - PERAL HOSPITAL</t>
        </is>
      </c>
    </row>
    <row r="3340">
      <c r="B3340" s="22" t="inlineStr">
        <is>
          <t>MF3605 - INTERNATIONAL &amp; NATIONAL MEDICAL COMPANY L.L.C</t>
        </is>
      </c>
    </row>
    <row r="3341">
      <c r="B3341" s="22" t="inlineStr">
        <is>
          <t>MF3270 - DMETCO HOME HEALTH CARE LLC</t>
        </is>
      </c>
    </row>
    <row r="3342">
      <c r="B3342" s="22" t="inlineStr">
        <is>
          <t>MF3626 - DR FAWZIEA KHALFAN MEDICAL CENTRE L.L.C</t>
        </is>
      </c>
    </row>
    <row r="3343">
      <c r="B3343" s="22" t="inlineStr">
        <is>
          <t>MF3697 - AL HESN INTERNATIONAL HOSPITAL</t>
        </is>
      </c>
    </row>
    <row r="3344">
      <c r="B3344" s="22" t="inlineStr">
        <is>
          <t>MF3757 - AL RUWAIS INDUSTRIAL AREA MEDICAL CLINIC</t>
        </is>
      </c>
    </row>
    <row r="3345">
      <c r="B3345" s="22" t="inlineStr">
        <is>
          <t>MF3686 - ONYX DENTAL LABORATORY  LLC</t>
        </is>
      </c>
    </row>
    <row r="3346">
      <c r="B3346" s="22" t="inlineStr">
        <is>
          <t>MF3680 - AL NOOR HOSPITAL CLINICS - EMIRATES PALACE HOTEL</t>
        </is>
      </c>
    </row>
    <row r="3347">
      <c r="B3347" s="22" t="inlineStr">
        <is>
          <t>MF3695 - GRAND NOVA HOSPITAL</t>
        </is>
      </c>
    </row>
    <row r="3348">
      <c r="B3348" s="22" t="inlineStr">
        <is>
          <t>MF4031 - AL KASER HEALTH CARE L.L.C</t>
        </is>
      </c>
    </row>
    <row r="3349">
      <c r="B3349" s="22" t="inlineStr">
        <is>
          <t>MF3744 - NEW NATIONAL MEDICAL CENTRE - LLC - BRANCH 1</t>
        </is>
      </c>
    </row>
    <row r="3350">
      <c r="B3350" s="22" t="inlineStr">
        <is>
          <t>MF3747 - AMANA HEALTH CARE MEDICAL AND REHABILITATION HOSPITAL L.L.C. - BRANCH 2</t>
        </is>
      </c>
    </row>
    <row r="3351">
      <c r="B3351" s="22" t="inlineStr">
        <is>
          <t>MF3740 - APPOLONIA PLUS PEDIATRIC DENTAL CENTER - L.L.C - S.P.C</t>
        </is>
      </c>
    </row>
    <row r="3352">
      <c r="B3352" s="22" t="inlineStr">
        <is>
          <t>MF3838 - SAMAYA SPECIALIZED CENTER-SSH-LASER AND DAYCARE SURGERY LLC</t>
        </is>
      </c>
    </row>
    <row r="3353">
      <c r="B3353" s="22" t="inlineStr">
        <is>
          <t>MF3818 - ISHTAR MEDICAL CENTRE</t>
        </is>
      </c>
    </row>
    <row r="3354">
      <c r="B3354" s="22" t="inlineStr">
        <is>
          <t>MF3039 - BOURN HALL L L C - BRANCH OF ABU DHABI</t>
        </is>
      </c>
    </row>
    <row r="3355">
      <c r="B3355" s="22" t="inlineStr">
        <is>
          <t>MF3765 - SUN MEDICAL CENTER  . L.L.C. -- BRANCH 1</t>
        </is>
      </c>
    </row>
    <row r="3356">
      <c r="B3356" s="22" t="inlineStr">
        <is>
          <t>MF3850 - ALKABRA INTERNATIONAL HEALTH SERVICES L.L.C</t>
        </is>
      </c>
    </row>
    <row r="3357">
      <c r="B3357" s="22" t="inlineStr">
        <is>
          <t>MF3846 - SAMAYA MEDICAL CENTER L L C</t>
        </is>
      </c>
    </row>
    <row r="3358">
      <c r="B3358" s="22" t="inlineStr">
        <is>
          <t>MF3861 - EMIRATES ROYAL ORTHODONTIC AND COSMETIC DENTISTRY CENTER L.L.C</t>
        </is>
      </c>
    </row>
    <row r="3359">
      <c r="B3359" s="22" t="inlineStr">
        <is>
          <t>MF3871 - ATLANTA SPECIALIZED MEDICAL CENTRE</t>
        </is>
      </c>
    </row>
    <row r="3360">
      <c r="B3360" s="22" t="inlineStr">
        <is>
          <t xml:space="preserve">MF3991 - Al Aydee Al Amina Home Health Care </t>
        </is>
      </c>
    </row>
    <row r="3361">
      <c r="B3361" s="22" t="inlineStr">
        <is>
          <t>MF3892 - CLAVELAND HOME HEALTH CARE - L.L.C</t>
        </is>
      </c>
    </row>
    <row r="3362">
      <c r="B3362" s="22" t="inlineStr">
        <is>
          <t>MF3934 - BURJEEL DAY SURGERY CENTRE SHAHAMA - L.L.C</t>
        </is>
      </c>
    </row>
    <row r="3363">
      <c r="B3363" s="22" t="inlineStr">
        <is>
          <t>MF3913 - PETROFAC EMIRATES CLINIC LLC - PROJECT UZ750 ZADCO</t>
        </is>
      </c>
    </row>
    <row r="3364">
      <c r="B3364" s="22" t="inlineStr">
        <is>
          <t>MF3906 - BEAUTY TRICK MEDICAL CENTER L.L.C</t>
        </is>
      </c>
    </row>
    <row r="3365">
      <c r="B3365" s="22" t="inlineStr">
        <is>
          <t>MF3964 - ARBRIT SAFETY &amp; ENGINEERING TRAINING L L C</t>
        </is>
      </c>
    </row>
    <row r="3366">
      <c r="B3366" s="22" t="inlineStr">
        <is>
          <t>MF3973 - TAWDHEEF DOT COM RECRUITMENT</t>
        </is>
      </c>
    </row>
    <row r="3367">
      <c r="B3367" s="22" t="inlineStr">
        <is>
          <t>MF3978 - BAREEN INTERNATIONAL HOSPITAL-BRANCH1</t>
        </is>
      </c>
    </row>
    <row r="3368">
      <c r="B3368" s="22" t="inlineStr">
        <is>
          <t>MF4000 - FUTURE HORIZON EMPLOYEES PROVISION SERVICES - SOLE PROPRIETORSHIP L.L.C.</t>
        </is>
      </c>
    </row>
    <row r="3369">
      <c r="B3369" s="22" t="inlineStr">
        <is>
          <t xml:space="preserve">MF3992 - ALMADINA MEDICAL CENTER FOR SPECIALTY CLINICS L L C - BRANCH 1 </t>
        </is>
      </c>
    </row>
    <row r="3370">
      <c r="B3370" s="22" t="inlineStr">
        <is>
          <t xml:space="preserve">MF4205 - AL BADIYA SPECIALIZED HOSPITAL </t>
        </is>
      </c>
    </row>
    <row r="3371">
      <c r="B3371" s="22" t="inlineStr">
        <is>
          <t>MF4048 - MESK ALMADINA MEDICAL CENTRE L.L.C</t>
        </is>
      </c>
    </row>
    <row r="3372">
      <c r="B3372" s="22" t="inlineStr">
        <is>
          <t>MF4073 - SKIN &amp; SLIM MEDICAL CENTER L.L.C</t>
        </is>
      </c>
    </row>
    <row r="3373">
      <c r="B3373" s="22" t="inlineStr">
        <is>
          <t>MF4087 - LILAC MEDICAL CENTRE L.L.C.</t>
        </is>
      </c>
    </row>
    <row r="3374">
      <c r="B3374" s="22" t="inlineStr">
        <is>
          <t>MF4122 - SAMA ALSHAMKHA MEDICAL CENTER L.L.C.</t>
        </is>
      </c>
    </row>
    <row r="3375">
      <c r="B3375" s="22" t="inlineStr">
        <is>
          <t>MF4100 - HEALTH &amp; LIFE MEDICAL CENTER - BRANCH 2</t>
        </is>
      </c>
    </row>
    <row r="3376">
      <c r="B3376" s="22" t="inlineStr">
        <is>
          <t>MF4136 - FAKIH IVF FERTILITY CENTER L.L.C.- BRANCH 2</t>
        </is>
      </c>
    </row>
    <row r="3377">
      <c r="B3377" s="22" t="inlineStr">
        <is>
          <t>MF4144 - STARS MEDICAL ASSISTANCE CENTER</t>
        </is>
      </c>
    </row>
    <row r="3378">
      <c r="B3378" s="22" t="inlineStr">
        <is>
          <t>MF4194 - DR MAZEN ALI MEDICAL CENTER L.L.C.</t>
        </is>
      </c>
    </row>
    <row r="3379">
      <c r="B3379" s="22" t="inlineStr">
        <is>
          <t>MF4273 - TAV TEPE AKFEN INVESTMENT CONSTRUCTION &amp; OPERATIONS MEDICAL CLINIC - ABU DHABI BRANCH</t>
        </is>
      </c>
    </row>
    <row r="3380">
      <c r="B3380" s="22" t="inlineStr">
        <is>
          <t>MF4352 - GULF DIAGNOSTIC CENTRE HOSPITAL- W L L - BRANCH 1</t>
        </is>
      </c>
    </row>
    <row r="3381">
      <c r="B3381" s="22" t="inlineStr">
        <is>
          <t>MF4181 - ASTER MEDICAL CENTRE LLC</t>
        </is>
      </c>
    </row>
    <row r="3382">
      <c r="B3382" s="22" t="inlineStr">
        <is>
          <t>MF4186 - INFINTI MEDICAL CENTER- L.L.C. - S.P.C</t>
        </is>
      </c>
    </row>
    <row r="3383">
      <c r="B3383" s="22" t="inlineStr">
        <is>
          <t>MF4182 - Al Ghallan Island Clinic</t>
        </is>
      </c>
    </row>
    <row r="3384">
      <c r="B3384" s="22" t="inlineStr">
        <is>
          <t xml:space="preserve">MF4207 - CONSOLIDATED CONTRACTING ENGINEERING &amp; PROCUREMENT COMPANY CLINIC </t>
        </is>
      </c>
    </row>
    <row r="3385">
      <c r="B3385" s="22" t="inlineStr">
        <is>
          <t>MF4193 - FLORIDA HOME CARE</t>
        </is>
      </c>
    </row>
    <row r="3386">
      <c r="B3386" s="22" t="inlineStr">
        <is>
          <t>MF4183 - HEALTH &amp; LIFE MEDICAL CENTER - BRANCH 5</t>
        </is>
      </c>
    </row>
    <row r="3387">
      <c r="B3387" s="22" t="inlineStr">
        <is>
          <t>MF4179 - WALLY BASHWATY DENTAL L.L.C.</t>
        </is>
      </c>
    </row>
    <row r="3388">
      <c r="B3388" s="22" t="inlineStr">
        <is>
          <t>MF4199 - AL TADAMON MEDICAL CENTRE</t>
        </is>
      </c>
    </row>
    <row r="3389">
      <c r="B3389" s="22" t="inlineStr">
        <is>
          <t>MF4244 - B LITE REGIME AND WEIGHT CONTROL SERVICES - L.L.C - S.P.C</t>
        </is>
      </c>
    </row>
    <row r="3390">
      <c r="B3390" s="22" t="inlineStr">
        <is>
          <t>MF4351 - NEXT CARE NURSING &amp; HEALTH CARE - BRANCH 2</t>
        </is>
      </c>
    </row>
    <row r="3391">
      <c r="B3391" s="22" t="inlineStr">
        <is>
          <t>MF4260 - GENESIS PLANNING LLC - ABUDHABI</t>
        </is>
      </c>
    </row>
    <row r="3392">
      <c r="B3392" s="22" t="inlineStr">
        <is>
          <t>MF4264 - HOLISTIC MEDICAL CENTRE- SOLE PROPRIETORSHIP L.L.C</t>
        </is>
      </c>
    </row>
    <row r="3393">
      <c r="B3393" s="22" t="inlineStr">
        <is>
          <t>MF4272 - OPAL DENTAL LABORATORY  L.L.C.</t>
        </is>
      </c>
    </row>
    <row r="3394">
      <c r="B3394" s="22" t="inlineStr">
        <is>
          <t>MF4525 - CLOVER MEDICAL SERVICES L.L.C.</t>
        </is>
      </c>
    </row>
    <row r="3395">
      <c r="B3395" s="22" t="inlineStr">
        <is>
          <t>MF4427 - BEVERLY HILLS MEDICAL CENTRE L.L.C - BRANCH1</t>
        </is>
      </c>
    </row>
    <row r="3396">
      <c r="B3396" s="22" t="inlineStr">
        <is>
          <t>MF4271 - SAMA DENTAL LABORATORY - SOLE PROPRIETORSHIP L.L.C</t>
        </is>
      </c>
    </row>
    <row r="3397">
      <c r="B3397" s="22" t="inlineStr">
        <is>
          <t>MF4389 - W WILSON DAY CARE SURGERY L.L.C.</t>
        </is>
      </c>
    </row>
    <row r="3398">
      <c r="B3398" s="22" t="inlineStr">
        <is>
          <t>MF4385 - SHADI INTERNATIONAL PEDIATRIC DENTISTRY CENTER L.L.C.</t>
        </is>
      </c>
    </row>
    <row r="3399">
      <c r="B3399" s="22" t="inlineStr">
        <is>
          <t xml:space="preserve">MF4394 - SHADI INTERNATIONAL DENTAL &amp; ORTHODONTIC CENTER L.L.C. - BRANCH 3  </t>
        </is>
      </c>
    </row>
    <row r="3400">
      <c r="B3400" s="22" t="inlineStr">
        <is>
          <t>MF4763 - HORIZON HOSPITAL FOR WOMEN &amp; CHILDREN</t>
        </is>
      </c>
    </row>
    <row r="3401">
      <c r="B3401" s="22" t="inlineStr">
        <is>
          <t>MF4494 - AL AIN CROMWELL MEDICAL CENTER-AL HILI</t>
        </is>
      </c>
    </row>
    <row r="3402">
      <c r="B3402" s="22" t="inlineStr">
        <is>
          <t>MF4464 - LONG LIFE MEDICAL CENTER</t>
        </is>
      </c>
    </row>
    <row r="3403">
      <c r="B3403" s="22" t="inlineStr">
        <is>
          <t>MF4481 - SMART STAR NATUROPATHY CENTR</t>
        </is>
      </c>
    </row>
    <row r="3404">
      <c r="B3404" s="22" t="inlineStr">
        <is>
          <t>MF4484 - AL AIN CROMWELL MEDICAL CENTER-AL HAYAR</t>
        </is>
      </c>
    </row>
    <row r="3405">
      <c r="B3405" s="22" t="inlineStr">
        <is>
          <t>MF4487 - UNIQUE HOME HEALTH CARE SERVICES CENTER LLC</t>
        </is>
      </c>
    </row>
    <row r="3406">
      <c r="B3406" s="22" t="inlineStr">
        <is>
          <t>MF4522 - DERMA MEDICAL CENTER - SOLE PROPRIETORSHIP L.L.C.</t>
        </is>
      </c>
    </row>
    <row r="3407">
      <c r="B3407" s="22" t="inlineStr">
        <is>
          <t>MF4519 - ROYAL SMILE MEDICAL CENTER L.L.C</t>
        </is>
      </c>
    </row>
    <row r="3408">
      <c r="B3408" s="22" t="inlineStr">
        <is>
          <t>MF4534 - SULAIMAN MEDICAL CENTRE- L.L.C - O.P.C - BRANCH</t>
        </is>
      </c>
    </row>
    <row r="3409">
      <c r="B3409" s="22" t="inlineStr">
        <is>
          <t>MF4594 - AL JUBAIL GENERAL CLINIC</t>
        </is>
      </c>
    </row>
    <row r="3410">
      <c r="B3410" s="22" t="inlineStr">
        <is>
          <t>MF4528 - QATAR AL NADA HOME HEALTH CARE L.L.C</t>
        </is>
      </c>
    </row>
    <row r="3411">
      <c r="B3411" s="22" t="inlineStr">
        <is>
          <t>MF4605 - SEVEN STAR HOME HEALTH CARE  L.L.C.</t>
        </is>
      </c>
    </row>
    <row r="3412">
      <c r="B3412" s="22" t="inlineStr">
        <is>
          <t>MF4485 - CLINIC DODSAL ENGINEERING AND CONSTRUCTION PTE LTD.- RUMAITHA BRANCH</t>
        </is>
      </c>
    </row>
    <row r="3413">
      <c r="B3413" s="22" t="inlineStr">
        <is>
          <t>MF4588 - ISHRAQ HOME HEALTH CARE</t>
        </is>
      </c>
    </row>
    <row r="3414">
      <c r="B3414" s="22" t="inlineStr">
        <is>
          <t>MF4577 - THE FIRST MANAGEMENT OF MEDICAL FACILITIES L.L.C</t>
        </is>
      </c>
    </row>
    <row r="3415">
      <c r="B3415" s="22" t="inlineStr">
        <is>
          <t>MF4751 - ALMANAYIF HOSPITAL</t>
        </is>
      </c>
    </row>
    <row r="3416">
      <c r="B3416" s="22" t="inlineStr">
        <is>
          <t>MF4567 - SPECTRA MEDICAL CENTRE - L.L.C - S.P.C</t>
        </is>
      </c>
    </row>
    <row r="3417">
      <c r="B3417" s="22" t="inlineStr">
        <is>
          <t>MF4629 - AL SAHM AL THAHABI HOME MEDICAL AND HEALTH CARE SERVICES - SOLE PROPRIETORSHIP L.L.C</t>
        </is>
      </c>
    </row>
    <row r="3418">
      <c r="B3418" s="22" t="inlineStr">
        <is>
          <t>MF4537 - WAHAT AL AMAN HOME HEALTH CARE L.L.C.</t>
        </is>
      </c>
    </row>
    <row r="3419">
      <c r="B3419" s="22" t="inlineStr">
        <is>
          <t>MF4624 - TAJMEEL DENTAL CENTER L.L.C. - BRANCH 10</t>
        </is>
      </c>
    </row>
    <row r="3420">
      <c r="B3420" s="22" t="inlineStr">
        <is>
          <t xml:space="preserve">MF4599 - TASKEEN HOME MEDICAL AND HEALTH CARE L.L.C </t>
        </is>
      </c>
    </row>
    <row r="3421">
      <c r="B3421" s="22" t="inlineStr">
        <is>
          <t>MF4432 - UNIQUE AL AHALIA OPHTHALMOLOGY MEDICAL CENTER L.L.C. - BRANCH 1</t>
        </is>
      </c>
    </row>
    <row r="3422">
      <c r="B3422" s="22" t="inlineStr">
        <is>
          <t>MF4761 - AMANA HEALTH CARE MEDICAL AND REHABILITATION HOSPITAL L.L.C. - BRANCH 1</t>
        </is>
      </c>
    </row>
    <row r="3423">
      <c r="B3423" s="22" t="inlineStr">
        <is>
          <t>MF4679 - BURJEEL MEDICAL CENTRE ( YAS MALL ) L.L.C.</t>
        </is>
      </c>
    </row>
    <row r="3424">
      <c r="B3424" s="22" t="inlineStr">
        <is>
          <t>MF4681 - MARAHEB MEDICAL SERVICES</t>
        </is>
      </c>
    </row>
    <row r="3425">
      <c r="B3425" s="22" t="inlineStr">
        <is>
          <t>MF4726 - AL MARIAH INTERNATIONAL MEDICAL COMPLEX</t>
        </is>
      </c>
    </row>
    <row r="3426">
      <c r="B3426" s="22" t="inlineStr">
        <is>
          <t>MF4424 - MULLAZAMA NURSING &amp; HOME HEALTH CARE - C.P.O - C.L.L</t>
        </is>
      </c>
    </row>
    <row r="3427">
      <c r="B3427" s="22" t="inlineStr">
        <is>
          <t>MF4716 - BIDA ZAYED MODERN CLINIC</t>
        </is>
      </c>
    </row>
    <row r="3428">
      <c r="B3428" s="22" t="inlineStr">
        <is>
          <t>MF4731 - PHYSIO MOBI PHYSIOTHERAPY CENTER L.L.C</t>
        </is>
      </c>
    </row>
    <row r="3429">
      <c r="B3429" s="22" t="inlineStr">
        <is>
          <t>MF4804 - NIGHTINGALE HOME HEALTH CARE L.L.C. - BRANCH 2</t>
        </is>
      </c>
    </row>
    <row r="3430">
      <c r="B3430" s="22" t="inlineStr">
        <is>
          <t>MF4745 - DIAMOND MEDICAL CENTER L.L.C</t>
        </is>
      </c>
    </row>
    <row r="3431">
      <c r="B3431" s="22" t="inlineStr">
        <is>
          <t>MF4822 - LIFE TIME HOME CARE SERVICES</t>
        </is>
      </c>
    </row>
    <row r="3432">
      <c r="B3432" s="22" t="inlineStr">
        <is>
          <t>MF4742 - RIGHT CHOICE MEDICAL CENTER</t>
        </is>
      </c>
    </row>
    <row r="3433">
      <c r="B3433" s="22" t="inlineStr">
        <is>
          <t>MF4748 - HUB MEDICAL CENTRE - SOLE PROPRIETORSHIP L.L.C.</t>
        </is>
      </c>
    </row>
    <row r="3434">
      <c r="B3434" s="22" t="inlineStr">
        <is>
          <t>MF3903 - LIWA HEALTH SERVICES</t>
        </is>
      </c>
    </row>
    <row r="3435">
      <c r="B3435" s="22" t="inlineStr">
        <is>
          <t>MF4660 - FIRST CLASS MEDICAL CARE L.L.C</t>
        </is>
      </c>
    </row>
    <row r="3436">
      <c r="B3436" s="22" t="inlineStr">
        <is>
          <t>MF4771 - YATEEM INTERNATIONAL CLINIC</t>
        </is>
      </c>
    </row>
    <row r="3437">
      <c r="B3437" s="22" t="inlineStr">
        <is>
          <t xml:space="preserve">MF4778 - AL RAYED ALTERNATIVE MEDICAL AND HEJAMA CENTER </t>
        </is>
      </c>
    </row>
    <row r="3438">
      <c r="B3438" s="22" t="inlineStr">
        <is>
          <t>MF4821 - THE AUGUST MEDICAL CERENEO FOR NEUROLOGICAL REHABILITATION CENTER L.L.C.</t>
        </is>
      </c>
    </row>
    <row r="3439">
      <c r="B3439" s="22" t="inlineStr">
        <is>
          <t>MF4895 - BURJEEL GARDEN MEDICAL CENTRE L.L.C.</t>
        </is>
      </c>
    </row>
    <row r="3440">
      <c r="B3440" s="22" t="inlineStr">
        <is>
          <t>MF4780 - MEDAWI MEDICAL CENTRE L.L.C.- BRANCH 1</t>
        </is>
      </c>
    </row>
    <row r="3441">
      <c r="B3441" s="22" t="inlineStr">
        <is>
          <t>MF4814 - GOLDEN CARE MEDICAL CENTRE</t>
        </is>
      </c>
    </row>
    <row r="3442">
      <c r="B3442" s="22" t="inlineStr">
        <is>
          <t>MF4944 - AL AYADY ALMAWTHOOQA HOME HEALTHCARE</t>
        </is>
      </c>
    </row>
    <row r="3443">
      <c r="B3443" s="22" t="inlineStr">
        <is>
          <t>MF4835 - WORKFORCE CONNEXION L.L.C</t>
        </is>
      </c>
    </row>
    <row r="3444">
      <c r="B3444" s="22" t="inlineStr">
        <is>
          <t>MF4984 -  NATIONAL REHABILITATION CENTER-ABU DHABI</t>
        </is>
      </c>
    </row>
    <row r="3445">
      <c r="B3445" s="22" t="inlineStr">
        <is>
          <t>MF4826 - LABORS MOBILE MEDICALUNIT OWNED BY IBRAHIM ABDULNOOR ALZAROONI-ONE MAN COMPANY L.L.C</t>
        </is>
      </c>
    </row>
    <row r="3446">
      <c r="B3446" s="22" t="inlineStr">
        <is>
          <t>MF4201 - The New England Centr For Children - Abu Dhabi</t>
        </is>
      </c>
    </row>
    <row r="3447">
      <c r="B3447" s="22" t="inlineStr">
        <is>
          <t>MF4887 - Reem Hospital</t>
        </is>
      </c>
    </row>
    <row r="3448">
      <c r="B3448" s="22" t="inlineStr">
        <is>
          <t>MF3990 - ALTAMAYZ MEDICAL CENTRE</t>
        </is>
      </c>
    </row>
    <row r="3449">
      <c r="B3449" s="22" t="inlineStr">
        <is>
          <t>MF4879 - AL TAJ AL MALAKI MEDICAL CENTER</t>
        </is>
      </c>
    </row>
    <row r="3450">
      <c r="B3450" s="22" t="inlineStr">
        <is>
          <t>MF4850 - NOOR ALAHLI MEDICAL CENTER L.L.C. - BRANCH 3</t>
        </is>
      </c>
    </row>
    <row r="3451">
      <c r="B3451" s="22" t="inlineStr">
        <is>
          <t>MF4890 - AL KHAIR &amp; AL BARAKA CLINIC L.L.C.</t>
        </is>
      </c>
    </row>
    <row r="3452">
      <c r="B3452" s="22" t="inlineStr">
        <is>
          <t>MF4938 - WHITE SMILE DENTAL CENTER L.L.C</t>
        </is>
      </c>
    </row>
    <row r="3453">
      <c r="B3453" s="22" t="inlineStr">
        <is>
          <t>MF4908 - ABU DHABI OIL COMPANY LIMITED (JAPAN ) - CLINIC - MUBARRAZ</t>
        </is>
      </c>
    </row>
    <row r="3454">
      <c r="B3454" s="22" t="inlineStr">
        <is>
          <t>MF4918 - SUNNA DENTAL CLINIC L.L.C</t>
        </is>
      </c>
    </row>
    <row r="3455">
      <c r="B3455" s="22" t="inlineStr">
        <is>
          <t>MF4932 - BEDAYA REHABILITATION AND TRAINING</t>
        </is>
      </c>
    </row>
    <row r="3456">
      <c r="B3456" s="22" t="inlineStr">
        <is>
          <t>MF4941 - TEBABAH HOME HEALTH CARE - SOLE PROPRIETORSHIP L.L.C.</t>
        </is>
      </c>
    </row>
    <row r="3457">
      <c r="B3457" s="22" t="inlineStr">
        <is>
          <t>MF4947 - AL FREEJ MOBILE DENTAL CLINIC</t>
        </is>
      </c>
    </row>
    <row r="3458">
      <c r="B3458" s="22" t="inlineStr">
        <is>
          <t>MF4955 - CANADIAN MEDICAL COSMETIC CENTER LLC- BRANCH 1</t>
        </is>
      </c>
    </row>
    <row r="3459">
      <c r="B3459" s="22" t="inlineStr">
        <is>
          <t>MF4968 - BEAUTY SECRET MEDICAL CENTRE L.L.C.</t>
        </is>
      </c>
    </row>
    <row r="3460">
      <c r="B3460" s="22" t="inlineStr">
        <is>
          <t>MF2984 - MEDICLINIC HOSPITALS L.L.C. O.P.C  AL JOWHARA HOSPITAL</t>
        </is>
      </c>
    </row>
    <row r="3461">
      <c r="B3461" s="22" t="inlineStr">
        <is>
          <t>MF5076 - STAR KEY HEARING LLC</t>
        </is>
      </c>
    </row>
    <row r="3462">
      <c r="B3462" s="22" t="inlineStr">
        <is>
          <t>MF5063 - INSPIRE CENTER FOR KIDS REHABILITATION</t>
        </is>
      </c>
    </row>
    <row r="3463">
      <c r="B3463" s="22" t="inlineStr">
        <is>
          <t>MF5082 - WHITE WINGS HOME HEALTH CARE CENTER</t>
        </is>
      </c>
    </row>
    <row r="3464">
      <c r="B3464" s="22" t="inlineStr">
        <is>
          <t xml:space="preserve">MF5067 - AL ZAHI DENTAL  CLINIC </t>
        </is>
      </c>
    </row>
    <row r="3465">
      <c r="B3465" s="22" t="inlineStr">
        <is>
          <t>MF5099 - POTENTIAL RECRUITMENT</t>
        </is>
      </c>
    </row>
    <row r="3466">
      <c r="B3466" s="22" t="inlineStr">
        <is>
          <t>MF5091 - SONRISA DENTAL CLINIC L.L.C.</t>
        </is>
      </c>
    </row>
    <row r="3467">
      <c r="B3467" s="22" t="inlineStr">
        <is>
          <t>MF5124 - EVERYOUNG MEDICAL CENTER</t>
        </is>
      </c>
    </row>
    <row r="3468">
      <c r="B3468" s="22" t="inlineStr">
        <is>
          <t>MF5152 - UMM SHAIF FIELD CLINIC</t>
        </is>
      </c>
    </row>
    <row r="3469">
      <c r="B3469" s="22" t="inlineStr">
        <is>
          <t>MF5135 - NOOR ALAHLI MEDICAL CENTER - BRANCH 8</t>
        </is>
      </c>
    </row>
    <row r="3470">
      <c r="B3470" s="22" t="inlineStr">
        <is>
          <t>MF5147 - COSMESURGE CLINICS L.L.C - BRANCH OF ABU DHABI 1</t>
        </is>
      </c>
    </row>
    <row r="3471">
      <c r="B3471" s="22" t="inlineStr">
        <is>
          <t>MF5160 - BEATUY TOUCH MEDICAL POLYCLINIC L.L.C.</t>
        </is>
      </c>
    </row>
    <row r="3472">
      <c r="B3472" s="22" t="inlineStr">
        <is>
          <t>MF5201 - TAWAZUN SAFETY SECURITY &amp; DISASTER MANAGEMENT CITY - L.L.C - S.P.C</t>
        </is>
      </c>
    </row>
    <row r="3473">
      <c r="B3473" s="22" t="inlineStr">
        <is>
          <t>MF5346 - ALMAHWARI OF TRADITIONAL CHINESE MEDICINE CENTER</t>
        </is>
      </c>
    </row>
    <row r="3474">
      <c r="B3474" s="22" t="inlineStr">
        <is>
          <t>MF4204 - METRO INTERNATIONAL MEDICAL CENTER L.L.C</t>
        </is>
      </c>
    </row>
    <row r="3475">
      <c r="B3475" s="22" t="inlineStr">
        <is>
          <t xml:space="preserve">MF5240 - BRITISH NEUROLOGY PSYCHIATRY CENTER L.L.C </t>
        </is>
      </c>
    </row>
    <row r="3476">
      <c r="B3476" s="22" t="inlineStr">
        <is>
          <t>MF5222 - STAR KEY HEARING L.L.C- BRANCH 1</t>
        </is>
      </c>
    </row>
    <row r="3477">
      <c r="B3477" s="22" t="inlineStr">
        <is>
          <t>MF5226 - ADVANCE CARE PROSTHETICS AND ORTHOTICS CENTER - SOLE PROPRIETORSHIP L.L.C.</t>
        </is>
      </c>
    </row>
    <row r="3478">
      <c r="B3478" s="22" t="inlineStr">
        <is>
          <t>MF5243 - ZAHRATH AL REHAAN MEDICAL CENTER</t>
        </is>
      </c>
    </row>
    <row r="3479">
      <c r="B3479" s="22" t="inlineStr">
        <is>
          <t>MF5239 - DAMAS CARE DENTAL CENTER</t>
        </is>
      </c>
    </row>
    <row r="3480">
      <c r="B3480" s="22" t="inlineStr">
        <is>
          <t>MF5249 - BLUE DENTAL LABORATORY L.L.C.</t>
        </is>
      </c>
    </row>
    <row r="3481">
      <c r="B3481" s="22" t="inlineStr">
        <is>
          <t>MF5311 - ALMOSTAKBAL TOWER MEDICAL FACILITY MANAGEMENT</t>
        </is>
      </c>
    </row>
    <row r="3482">
      <c r="B3482" s="22" t="inlineStr">
        <is>
          <t>MF5350 - BREEZE MEDICAL CENTRE L.L.C.</t>
        </is>
      </c>
    </row>
    <row r="3483">
      <c r="B3483" s="22" t="inlineStr">
        <is>
          <t>MF5362 - MEDICLINIC HOSPITALS L.L.C.  ( AIRPORT ROAD HOSPITAL )</t>
        </is>
      </c>
    </row>
    <row r="3484">
      <c r="B3484" s="22" t="inlineStr">
        <is>
          <t>MF5366 - MACANI MEDICAL CENTER L.L.C. - BRANCH 1</t>
        </is>
      </c>
    </row>
    <row r="3485">
      <c r="B3485" s="22" t="inlineStr">
        <is>
          <t>MF5363 - MOON LIGHT MEDICAL CENTER L.L.C.</t>
        </is>
      </c>
    </row>
    <row r="3486">
      <c r="B3486" s="22" t="inlineStr">
        <is>
          <t>MF5378 - N M C ROYAL MEDICAL CENTRE L.L.C. -BRANCH 5</t>
        </is>
      </c>
    </row>
    <row r="3487">
      <c r="B3487" s="22" t="inlineStr">
        <is>
          <t>MF5389 - MONTE CARLO MEDICAL POLYCLINIC - SOLE PROPRIETORSHIP L.L.C</t>
        </is>
      </c>
    </row>
    <row r="3488">
      <c r="B3488" s="22" t="inlineStr">
        <is>
          <t>MF5056 - TOTAL CARE MEDICAL CENTER L.L.C.</t>
        </is>
      </c>
    </row>
    <row r="3489">
      <c r="B3489" s="22" t="inlineStr">
        <is>
          <t>MF5382 - SUPREME MEDICAL CENTER</t>
        </is>
      </c>
    </row>
    <row r="3490">
      <c r="B3490" s="22" t="inlineStr">
        <is>
          <t xml:space="preserve">MF5397 - AL AELAH HOME HEALTH CARE </t>
        </is>
      </c>
    </row>
    <row r="3491">
      <c r="B3491" s="22" t="inlineStr">
        <is>
          <t>MF5466 - HARMONIC DENTAL LABORATORY L L C</t>
        </is>
      </c>
    </row>
    <row r="3492">
      <c r="B3492" s="22" t="inlineStr">
        <is>
          <t>MF5495 - FLORENC HOME HEALTH CARE SERVICES CENTER L.L.C. - BRANCH 3</t>
        </is>
      </c>
    </row>
    <row r="3493">
      <c r="B3493" s="22" t="inlineStr">
        <is>
          <t>MF5429 - A M H MEDICAL CLINIC - SOLE PROPRIETORSHIP L.L.C.</t>
        </is>
      </c>
    </row>
    <row r="3494">
      <c r="B3494" s="22" t="inlineStr">
        <is>
          <t>MF5476 - NEW LOOK MEDICAL CENTER - SOLE PROPRIETORSHIP L.L.C. - BRANCH 4</t>
        </is>
      </c>
    </row>
    <row r="3495">
      <c r="B3495" s="22" t="inlineStr">
        <is>
          <t>MF5306 - NOVOMED CENTERS L.L.C  - BRANCH OF ABU DHABI</t>
        </is>
      </c>
    </row>
    <row r="3496">
      <c r="B3496" s="22" t="inlineStr">
        <is>
          <t>MF4516 - YOUR DENTAL &amp; MEDICAL CENTER  L.L.C.</t>
        </is>
      </c>
    </row>
    <row r="3497">
      <c r="B3497" s="22" t="inlineStr">
        <is>
          <t>MF5456 - DR. KHALED AL NUAIMI SPECIALIZED CLINIC - L.L.C - O.P.C</t>
        </is>
      </c>
    </row>
    <row r="3498">
      <c r="B3498" s="22" t="inlineStr">
        <is>
          <t>MF5488 - LINKIN MEDICAL SERVICES  L.L.C.</t>
        </is>
      </c>
    </row>
    <row r="3499">
      <c r="B3499" s="22" t="inlineStr">
        <is>
          <t>MF5184 - SKIN CARE OASIS CLINICK L.L.C</t>
        </is>
      </c>
    </row>
    <row r="3500">
      <c r="B3500" s="22" t="inlineStr">
        <is>
          <t>MF5211 - INTERNATIONAL DEVELOPMENT COMPANY MANPOWER SUPPLY</t>
        </is>
      </c>
    </row>
    <row r="3501">
      <c r="B3501" s="22" t="inlineStr">
        <is>
          <t xml:space="preserve">MF5500 - POLICE COLLEGE CLINIC </t>
        </is>
      </c>
    </row>
    <row r="3502">
      <c r="B3502" s="22" t="inlineStr">
        <is>
          <t>MF5554 - ALBA SMILE MEDICAL CENTRE L.L.C. -  BRANCH</t>
        </is>
      </c>
    </row>
    <row r="3503">
      <c r="B3503" s="22" t="inlineStr">
        <is>
          <t>MF5591 - SHAH AL HOSN PLQ</t>
        </is>
      </c>
    </row>
    <row r="3504">
      <c r="B3504" s="22" t="inlineStr">
        <is>
          <t>MF4123 - DANAT AL EMARAT CLINIC FOR WOMEN &amp; CHILDREN  L.L.C.</t>
        </is>
      </c>
    </row>
    <row r="3505">
      <c r="B3505" s="22" t="inlineStr">
        <is>
          <t>MF5622 - OPTIMIST MEDICAL CENTER LLC</t>
        </is>
      </c>
    </row>
    <row r="3506">
      <c r="B3506" s="22" t="inlineStr">
        <is>
          <t>MF5608 - CHINA STATE CONSTRUCTION CLINIC</t>
        </is>
      </c>
    </row>
    <row r="3507">
      <c r="B3507" s="22" t="inlineStr">
        <is>
          <t>MF5619 - M&amp;M DENTAL LABORATORY - L.L.C -  S.P.C</t>
        </is>
      </c>
    </row>
    <row r="3508">
      <c r="B3508" s="22" t="inlineStr">
        <is>
          <t>MF4493 - AL FAIROUZ MEDICAL CENTER - L.L.C - S.P.C</t>
        </is>
      </c>
    </row>
    <row r="3509">
      <c r="B3509" s="22" t="inlineStr">
        <is>
          <t>MF5670 - AL NASR FIELD CLINIC</t>
        </is>
      </c>
    </row>
    <row r="3510">
      <c r="B3510" s="22" t="inlineStr">
        <is>
          <t>MF4437 - NOOR ALAHLI MEDICAL CENTER L.L.C.</t>
        </is>
      </c>
    </row>
    <row r="3511">
      <c r="B3511" s="22" t="inlineStr">
        <is>
          <t>MF5744 - Bianca Medical Center - Sole Proprietorship L.L.C.</t>
        </is>
      </c>
    </row>
    <row r="3512">
      <c r="B3512" s="22" t="inlineStr">
        <is>
          <t>MF5714 - ADNOC HQ CLINIC 2</t>
        </is>
      </c>
    </row>
    <row r="3513">
      <c r="B3513" s="22" t="inlineStr">
        <is>
          <t>MF7034 - JABAL HAFEED SCHOOL - SOLE PROPRIETORSHIP L.L.C.</t>
        </is>
      </c>
    </row>
    <row r="3514">
      <c r="B3514" s="22" t="inlineStr">
        <is>
          <t>MF7041 - YATEEM OPTICIAN - BRANCH</t>
        </is>
      </c>
    </row>
    <row r="3515">
      <c r="B3515" s="22" t="inlineStr">
        <is>
          <t>MF7050 - AL KALMA WELLBEING CENTRE - L.L.C - S.P.C</t>
        </is>
      </c>
    </row>
    <row r="3516">
      <c r="B3516" s="22" t="inlineStr">
        <is>
          <t>MF7052 - YAS CLINIC AL MUSHRIF - SOLE PROPIETORSHIP L.L.C.</t>
        </is>
      </c>
    </row>
    <row r="3517">
      <c r="B3517" s="22" t="inlineStr">
        <is>
          <t>MF7097 - ALLIED TRANSPORT</t>
        </is>
      </c>
    </row>
    <row r="3518">
      <c r="B3518" s="22" t="inlineStr">
        <is>
          <t>MF7099 - Yas Clinic Group - L.L.C.</t>
        </is>
      </c>
    </row>
    <row r="3519">
      <c r="B3519" s="22" t="inlineStr">
        <is>
          <t>MF7115 - YAS CLINIC CENTER ALAIN - SOLE PROPRIETORSHIP L.L.C.</t>
        </is>
      </c>
    </row>
    <row r="3520">
      <c r="B3520" s="22" t="inlineStr">
        <is>
          <t>MF7116 - M 26 DENTAL CLINIC</t>
        </is>
      </c>
    </row>
    <row r="3521">
      <c r="B3521" s="22" t="inlineStr">
        <is>
          <t>MF7125 - MAESTRO DENTAL LAB - SOLE PROPRIETORSHIP L.L.C</t>
        </is>
      </c>
    </row>
    <row r="3522">
      <c r="B3522" s="22" t="inlineStr">
        <is>
          <t>MF7133 - EYE MAX OPTICAL SOLEPROPRIETORSHIP LLC</t>
        </is>
      </c>
    </row>
    <row r="3523">
      <c r="B3523" s="22" t="inlineStr">
        <is>
          <t>MF7154 - ADC TARIF CENTRAL CAMP CLINIC</t>
        </is>
      </c>
    </row>
    <row r="3524">
      <c r="B3524" s="22" t="inlineStr">
        <is>
          <t>MF7166 - ZIQITZA GULF MEDICAL RESPONSE AND AMBULANCE SERVICES - SOLE PROPRIETORSHIP L.L.C.</t>
        </is>
      </c>
    </row>
    <row r="3525">
      <c r="B3525" s="22" t="inlineStr">
        <is>
          <t>MF7176 - Mbazzarah Al Khadra</t>
        </is>
      </c>
    </row>
    <row r="3526">
      <c r="B3526" s="22" t="inlineStr">
        <is>
          <t>MF7183 - AL MUKHTAR MEDICAL CENTER</t>
        </is>
      </c>
    </row>
    <row r="3527">
      <c r="B3527" s="22" t="inlineStr">
        <is>
          <t>MF7198 - Das Hospital</t>
        </is>
      </c>
    </row>
    <row r="3528">
      <c r="B3528" s="22" t="inlineStr">
        <is>
          <t>MF7218 - MAX CURE MEDICAL CARE CENTER - L.L.C -S.P.C</t>
        </is>
      </c>
    </row>
    <row r="3529">
      <c r="B3529" s="22" t="inlineStr">
        <is>
          <t>MF7227 - ALAIN CROMWELL WOMEN CHILDREN HOSPITAL L.L.C.</t>
        </is>
      </c>
    </row>
    <row r="3530">
      <c r="B3530" s="22" t="inlineStr">
        <is>
          <t>MF7228 - LIFECARE CLINIC L.L.C - BRANCH 3</t>
        </is>
      </c>
    </row>
    <row r="3531">
      <c r="B3531" s="22" t="inlineStr">
        <is>
          <t>MF7236 - ALGHAD MEDICAL CENTER- SOLE PROPRIETORSHIP L.L.C.</t>
        </is>
      </c>
    </row>
    <row r="3532">
      <c r="B3532" s="22" t="inlineStr">
        <is>
          <t>MF7259 - SAMA DENTAL CLINIC</t>
        </is>
      </c>
    </row>
    <row r="3533">
      <c r="B3533" s="22" t="inlineStr">
        <is>
          <t>MF7264 - AL DHAHER SCHOOL - SOLE PROPRIETORSHIP L.L.C.</t>
        </is>
      </c>
    </row>
    <row r="3534">
      <c r="B3534" s="22" t="inlineStr">
        <is>
          <t>MF7284 - TWINKLE SKIN CLINIC - SOLE PROPRIETORSHIP L.L.C.</t>
        </is>
      </c>
    </row>
    <row r="3535">
      <c r="B3535" s="22" t="inlineStr">
        <is>
          <t>MF7286 - SPRUCE SUNGLASSES TRADING L.L.C - BRANCH OF ABU DHABI 2</t>
        </is>
      </c>
    </row>
    <row r="3536">
      <c r="B3536" s="22" t="inlineStr">
        <is>
          <t>MF7309 - SPRUCE SUNGLASSES TRADING L.L.C - BRANCH OF ABU DHABI 4</t>
        </is>
      </c>
    </row>
    <row r="3537">
      <c r="B3537" s="22" t="inlineStr">
        <is>
          <t>MF5339 - WLDY MEDICAL CENTER - SOLE PROPRIETORSHIP L.L.C.</t>
        </is>
      </c>
    </row>
    <row r="3538">
      <c r="B3538" s="22" t="inlineStr">
        <is>
          <t>MF7130 - AL RAYANA SCHOOL - SOLE PROPRIETORSHIP L.L.C.</t>
        </is>
      </c>
    </row>
    <row r="3539">
      <c r="B3539" s="22" t="inlineStr">
        <is>
          <t>MF7328 - AVENUE MEDICAL CENTER - L.L.C - S.P.C</t>
        </is>
      </c>
    </row>
    <row r="3540">
      <c r="B3540" s="22" t="inlineStr">
        <is>
          <t>MF7334 - LIWA INTERNATIONAL  SCHOOL -AL QATTARA - SOLE PROPRIETORSHIP L.L.C.</t>
        </is>
      </c>
    </row>
    <row r="3541">
      <c r="B3541" s="22" t="inlineStr">
        <is>
          <t>MF7364 - ACUPOINT COMPLEMENTARY MEDICINE L.L.C.</t>
        </is>
      </c>
    </row>
    <row r="3542">
      <c r="B3542" s="22" t="inlineStr">
        <is>
          <t>MF7375 - MELODY MEDICAL CENTER  - SOLE PROPRIETORSHIP L.L.C.</t>
        </is>
      </c>
    </row>
    <row r="3543">
      <c r="B3543" s="22" t="inlineStr">
        <is>
          <t>MF7379 - Al Baheya Common School Clinic 2</t>
        </is>
      </c>
    </row>
    <row r="3544">
      <c r="B3544" s="22" t="inlineStr">
        <is>
          <t xml:space="preserve">MF7382 - LIFECARE CLINIC L.L.C - BRANCH 4 </t>
        </is>
      </c>
    </row>
    <row r="3545">
      <c r="B3545" s="22" t="inlineStr">
        <is>
          <t>MF7414 - DARQOON MEDICAL CENTER - L.L.C - O.P.C</t>
        </is>
      </c>
    </row>
    <row r="3546">
      <c r="B3546" s="22" t="inlineStr">
        <is>
          <t>MF7417 - GENESIS INTERNATIONAL FETAL MEDICINE AND THERAPY CENTRE - L.L.C</t>
        </is>
      </c>
    </row>
    <row r="3547">
      <c r="B3547" s="22" t="inlineStr">
        <is>
          <t>MF7428 - EMIRATES HUMINITERIAN CITY MEDICAL CENTER</t>
        </is>
      </c>
    </row>
    <row r="3548">
      <c r="B3548" s="22" t="inlineStr">
        <is>
          <t>MF7431 - ALJABER OPTICAL CENTER L L C - BRANCH OF ABU DHABI 30</t>
        </is>
      </c>
    </row>
    <row r="3549">
      <c r="B3549" s="22" t="inlineStr">
        <is>
          <t>MF7435 - CHARTERED BUSINESS ASSURANCE MANAGEMENT OF MEDICAL FACILITIES - SOLE PROPRIETORSHIP L.L.C.</t>
        </is>
      </c>
    </row>
    <row r="3550">
      <c r="B3550" s="22" t="inlineStr">
        <is>
          <t>MF7444 - AD-185</t>
        </is>
      </c>
    </row>
    <row r="3551">
      <c r="B3551" s="22" t="inlineStr">
        <is>
          <t>MF7449 - AD-187</t>
        </is>
      </c>
    </row>
    <row r="3552">
      <c r="B3552" s="22" t="inlineStr">
        <is>
          <t>MF7455 - HEALTH SQUARE MEDICAL CENTER - SOLE PROPRIETORSHIP L.L.C.</t>
        </is>
      </c>
    </row>
    <row r="3553">
      <c r="B3553" s="22" t="inlineStr">
        <is>
          <t>MF7456 - SANIMED INTERNATIONAL LAB AND MANAGEMENT  L.L.C.</t>
        </is>
      </c>
    </row>
    <row r="3554">
      <c r="B3554" s="22" t="inlineStr">
        <is>
          <t>MF7460 - EVANA DENTAL  LAB L.L.C</t>
        </is>
      </c>
    </row>
    <row r="3555">
      <c r="B3555" s="22" t="inlineStr">
        <is>
          <t>MF7465 - HEALTH CARE COLLECTION HOME HEALTH SERVICES L.L.C.</t>
        </is>
      </c>
    </row>
    <row r="3556">
      <c r="B3556" s="22" t="inlineStr">
        <is>
          <t>MF7289 - SAUDI OPTICALS L.L.C.</t>
        </is>
      </c>
    </row>
    <row r="3557">
      <c r="B3557" s="22" t="inlineStr">
        <is>
          <t>MF7476 - NATIONAL CATERING COMPANY LIMITED - SOLE PROPRIETORSHIP L.L.C.</t>
        </is>
      </c>
    </row>
    <row r="3558">
      <c r="B3558" s="22" t="inlineStr">
        <is>
          <t>MF7488 - Central morgue</t>
        </is>
      </c>
    </row>
    <row r="3559">
      <c r="B3559" s="22" t="inlineStr">
        <is>
          <t>MF7491 - Madinat Zayed Mortuary</t>
        </is>
      </c>
    </row>
    <row r="3560">
      <c r="B3560" s="22" t="inlineStr">
        <is>
          <t>MF7496 - AL AFDAL MEDICAL CENTER L.L.C.</t>
        </is>
      </c>
    </row>
    <row r="3561">
      <c r="B3561" s="22" t="inlineStr">
        <is>
          <t>MF3586 - WHITEFIELD DENTAL CENTER - SOLE PROPRIETORSHIP L.L.C.</t>
        </is>
      </c>
    </row>
    <row r="3562">
      <c r="B3562" s="22" t="inlineStr">
        <is>
          <t>MF7499 - BELLEVUE MEDICALCENTER - SOLE PROPRIETORSHIP L.L.C.</t>
        </is>
      </c>
    </row>
    <row r="3563">
      <c r="B3563" s="22" t="inlineStr">
        <is>
          <t>MF7522 - GROW &amp; GLOW MEDCLINIC - SOLE PROPRIETORSHIP L.L.C.</t>
        </is>
      </c>
    </row>
    <row r="3564">
      <c r="B3564" s="22" t="inlineStr">
        <is>
          <t>MF7527 - YAS MOBILE CLICNIC</t>
        </is>
      </c>
    </row>
    <row r="3565">
      <c r="B3565" s="22" t="inlineStr">
        <is>
          <t>MF7539 - ONELIFE MEDICAL CENTRE L L C</t>
        </is>
      </c>
    </row>
    <row r="3566">
      <c r="B3566" s="22" t="inlineStr">
        <is>
          <t>MF7543 - SAMA INTERNATIONAL SCHOOL - L.L.C - S.P.C</t>
        </is>
      </c>
    </row>
    <row r="3567">
      <c r="B3567" s="22" t="inlineStr">
        <is>
          <t>MF7564 - YORK DIAGNOSTIC LABORATORIES - L.L.C</t>
        </is>
      </c>
    </row>
    <row r="3568">
      <c r="B3568" s="22" t="inlineStr">
        <is>
          <t>MF7185 - ALOTEB LTD - ABU DHABI</t>
        </is>
      </c>
    </row>
    <row r="3569">
      <c r="B3569" s="22" t="inlineStr">
        <is>
          <t>MF919 - AL DHABI DENTAL AND ORTHODONTIC CENTRE - L.L.C</t>
        </is>
      </c>
    </row>
    <row r="3570">
      <c r="B3570" s="22" t="inlineStr">
        <is>
          <t xml:space="preserve">MF7659 - AD-33 </t>
        </is>
      </c>
    </row>
    <row r="3571">
      <c r="B3571" s="22" t="inlineStr">
        <is>
          <t>MF7261 - AL AMIN OPTICALS LLC - BRANCH OF ABU DHABI 1</t>
        </is>
      </c>
    </row>
    <row r="3572">
      <c r="B3572" s="22" t="inlineStr">
        <is>
          <t>MF7554 - I SEE BY ALJABER BR OF ALJABER OPTICAL CENTRE LLC - BRANCH OF ABU DHABI 36</t>
        </is>
      </c>
    </row>
    <row r="3573">
      <c r="B3573" s="22" t="inlineStr">
        <is>
          <t>MF1587 - AL NUAMAN DENTAL MEDICAL CENTER - SOLE PROPRIETORSHIP L.L.C.</t>
        </is>
      </c>
    </row>
    <row r="3574">
      <c r="B3574" s="22" t="inlineStr">
        <is>
          <t>MF7480 - CO LAB SERVICES L.L.C.</t>
        </is>
      </c>
    </row>
    <row r="3575">
      <c r="B3575" s="22" t="inlineStr">
        <is>
          <t>MF7719 - ACCURATE MED CONSULTANCY AND TRAINING - L.L.C - S.P.C</t>
        </is>
      </c>
    </row>
    <row r="3576">
      <c r="B3576" s="22" t="inlineStr">
        <is>
          <t>MF7720 - RIVOLI EYE ZONE (BRANCH OF MAGRABI OPTICAL COMPANY (L.L.C) - BRANCH OF ABU DHABI - WAITROSE</t>
        </is>
      </c>
    </row>
    <row r="3577">
      <c r="B3577" s="22" t="inlineStr">
        <is>
          <t>MF7712 - 4 U MEDICAL CENTER  - SOLE PROPRIETORSHIP L.L.C.</t>
        </is>
      </c>
    </row>
    <row r="3578">
      <c r="B3578" s="22" t="inlineStr">
        <is>
          <t>MF7733 - NATIONAL MARINE DREDGING COMPANY</t>
        </is>
      </c>
    </row>
    <row r="3579">
      <c r="B3579" s="22" t="inlineStr">
        <is>
          <t>MF7508 - SILAE OPTICALS TRADING - SOLE PROPRIETORSHIP L.L.C.</t>
        </is>
      </c>
    </row>
    <row r="3580">
      <c r="B3580" s="22" t="inlineStr">
        <is>
          <t>MF7750 - LE MODE CLINIC TREATMENT OF DERMATOLOG - L.L.C - O.P.C</t>
        </is>
      </c>
    </row>
    <row r="3581">
      <c r="B3581" s="22" t="inlineStr">
        <is>
          <t>MF7771 - HEALTHBRIDGE  MEDICAL SERVICES ESTABLISHMENT</t>
        </is>
      </c>
    </row>
    <row r="3582">
      <c r="B3582" s="22" t="inlineStr">
        <is>
          <t>MF7047 - INFINITY STUDIES &amp; TECHNICAL SOLUTIONS  L.L.C.</t>
        </is>
      </c>
    </row>
    <row r="3583">
      <c r="B3583" s="22" t="inlineStr">
        <is>
          <t>MF7787 - DISEASE PREVENTION AND SCREENING CENTRE-ALQURM</t>
        </is>
      </c>
    </row>
    <row r="3584">
      <c r="B3584" s="22" t="inlineStr">
        <is>
          <t>MF291 - UNIVERSITY DENTAL CENTRE - SOLE PROPRIETORSHIP L.L.C.</t>
        </is>
      </c>
    </row>
    <row r="3585">
      <c r="B3585" s="22" t="inlineStr">
        <is>
          <t>MF1795 - EUROPEAN CANADIAN MEDICAL CLINIC TREATMENT OF OBSTETRICS  GYNECOLOGY - SOLE PROPRIETORSHIP L.L.C</t>
        </is>
      </c>
    </row>
    <row r="3586">
      <c r="B3586" s="22" t="inlineStr">
        <is>
          <t>MF7815 - ATFAL AL EMARAT KG- L.L.C - O.P.C</t>
        </is>
      </c>
    </row>
    <row r="3587">
      <c r="B3587" s="22" t="inlineStr">
        <is>
          <t>MF7818 - KIDS HEART MEDICAL CENTER LLC - BRANCH</t>
        </is>
      </c>
    </row>
    <row r="3588">
      <c r="B3588" s="22" t="inlineStr">
        <is>
          <t>MF7819 - AL JABER OPTICAL CENTRE L L C - BRANCH OF ABU DHABI 38</t>
        </is>
      </c>
    </row>
    <row r="3589">
      <c r="B3589" s="22" t="inlineStr">
        <is>
          <t>MF7827 - MANILA OPTICALS - L.L.C - S.P.C</t>
        </is>
      </c>
    </row>
    <row r="3590">
      <c r="B3590" s="22" t="inlineStr">
        <is>
          <t xml:space="preserve">MF7866 - AD-170 </t>
        </is>
      </c>
    </row>
    <row r="3591">
      <c r="B3591" s="22" t="inlineStr">
        <is>
          <t>MF7199 - COURT CLINIC - JUDICIAL DEPARTMENT MANAGED BY BURJEEL HOSPITAL L..L.C</t>
        </is>
      </c>
    </row>
    <row r="3592">
      <c r="B3592" s="22" t="inlineStr">
        <is>
          <t>MF7881 - Cranleigh School Abu Dhabi- Sole Proprietorship L.L.C.- Branch Clinic</t>
        </is>
      </c>
    </row>
    <row r="3593">
      <c r="B3593" s="22" t="inlineStr">
        <is>
          <t>MF3794 - NEW MEDICAL CENTRE L.L.C - BRANCH OF ABU DHABI 2</t>
        </is>
      </c>
    </row>
    <row r="3594">
      <c r="B3594" s="22" t="inlineStr">
        <is>
          <t>MF7899 - ALNAYFA SPORTS AND CULTURAL CLUB - SOLE PROPRIETORSHIP L.L.C.</t>
        </is>
      </c>
    </row>
    <row r="3595">
      <c r="B3595" s="22" t="inlineStr">
        <is>
          <t>MF2003 - AL RAHBA HOSPITAL</t>
        </is>
      </c>
    </row>
    <row r="3596">
      <c r="B3596" s="22" t="inlineStr">
        <is>
          <t>MF7917 - MIRACARE CLINIC DERMATOLOGY  - L.L.C - O.P.C</t>
        </is>
      </c>
    </row>
    <row r="3597">
      <c r="B3597" s="22" t="inlineStr">
        <is>
          <t>MF7931 - KNOWLEDGE INTERNATIONAL SCHOOL-L.L.C-SPC</t>
        </is>
      </c>
    </row>
    <row r="3598">
      <c r="B3598" s="22" t="inlineStr">
        <is>
          <t>MF7956 - TARMEEM ORTHOPEDIC MEDICAL CENTRE - L.L.C - S.P.C - BRANCH</t>
        </is>
      </c>
    </row>
    <row r="3599">
      <c r="B3599" s="22" t="inlineStr">
        <is>
          <t>MF7960 - Al Nahdha School Clinic – Sole Proprietorship L L C</t>
        </is>
      </c>
    </row>
    <row r="3600">
      <c r="B3600" s="22" t="inlineStr">
        <is>
          <t>MF7550 - ALREEF SCHOOL - SOLE PROPRIETORSHIP L.L.C.</t>
        </is>
      </c>
    </row>
    <row r="3601">
      <c r="B3601" s="22" t="inlineStr">
        <is>
          <t>MF7980 - BURJEEL  MEDICAL CENTRE AL FALAH - L.L.C</t>
        </is>
      </c>
    </row>
    <row r="3602">
      <c r="B3602" s="22" t="inlineStr">
        <is>
          <t>MF7983 - AL GHAD NURSERIES -AL FALAH 1 - L.L.C - O.P.C</t>
        </is>
      </c>
    </row>
    <row r="3603">
      <c r="B3603" s="22" t="inlineStr">
        <is>
          <t>MF7999 - ALLIANZ INTREPID CLINIC</t>
        </is>
      </c>
    </row>
    <row r="3604">
      <c r="B3604" s="22" t="inlineStr">
        <is>
          <t>MF8001 - NSC GLORY /ADNOC AB02 CLINIC</t>
        </is>
      </c>
    </row>
    <row r="3605">
      <c r="B3605" s="22" t="inlineStr">
        <is>
          <t>MF7840 - ORTHOPADIE TECHNIK BERLIN - L.L.C - BRANCH OF ABU DHABI 2</t>
        </is>
      </c>
    </row>
    <row r="3606">
      <c r="B3606" s="22" t="inlineStr">
        <is>
          <t>MF8010 - BURJEEL CLINIC AIRPORT - L.L.C</t>
        </is>
      </c>
    </row>
    <row r="3607">
      <c r="B3607" s="22" t="inlineStr">
        <is>
          <t>MF8019 - THE BEST WAYS  MEDICAL CLINIC - L.L.C - O.P.C - BRANCH1</t>
        </is>
      </c>
    </row>
    <row r="3608">
      <c r="B3608" s="22" t="inlineStr">
        <is>
          <t>MF3542 - EMIRATES MOBILE HEART CLINIC</t>
        </is>
      </c>
    </row>
    <row r="3609">
      <c r="B3609" s="22" t="inlineStr">
        <is>
          <t>MF8018 - OPTICAL GALLERY L.L.C. - BRANCH</t>
        </is>
      </c>
    </row>
    <row r="3610">
      <c r="B3610" s="22" t="inlineStr">
        <is>
          <t>MF8029 - BESPOKE HEALTHCARE LLC</t>
        </is>
      </c>
    </row>
    <row r="3611">
      <c r="B3611" s="22" t="inlineStr">
        <is>
          <t>MF8054 - AL FALAH ACADEMY - AL JIMI</t>
        </is>
      </c>
    </row>
    <row r="3612">
      <c r="B3612" s="22" t="inlineStr">
        <is>
          <t>MF8069 - ADVANCED INNOVATIONS MANAGEMENT SERVICES - SOLE PROPRIETORSHIP L.L.C.</t>
        </is>
      </c>
    </row>
    <row r="3613">
      <c r="B3613" s="22" t="inlineStr">
        <is>
          <t>MF7372 - Applied Technology High School -Al Ain Al Aqabyia Boys Clinic</t>
        </is>
      </c>
    </row>
    <row r="3614">
      <c r="B3614" s="22" t="inlineStr">
        <is>
          <t>MF8158 - BEAUTY FOR LIFE - L.L.C - S.P.C</t>
        </is>
      </c>
    </row>
    <row r="3615">
      <c r="B3615" s="22" t="inlineStr">
        <is>
          <t>MF8101 - AL GHAD NURSERIES   AL AAMERAH 1 - L.L.C - S.P.C</t>
        </is>
      </c>
    </row>
    <row r="3616">
      <c r="B3616" s="22" t="inlineStr">
        <is>
          <t>MF8150 - SMART DENTAL LABORATORY - L.L.C</t>
        </is>
      </c>
    </row>
    <row r="3617">
      <c r="B3617" s="22" t="inlineStr">
        <is>
          <t>MF8195 - THAMES OPTICALS L.L.C.</t>
        </is>
      </c>
    </row>
    <row r="3618">
      <c r="B3618" s="22" t="inlineStr">
        <is>
          <t>MF8220 - SPRUCE SUNGLASSES TRADING L.L.C - BRANCH OF ABU DHABI</t>
        </is>
      </c>
    </row>
    <row r="3619">
      <c r="B3619" s="22" t="inlineStr">
        <is>
          <t>MF8241 - AL SAADIYAT MEDICAL CENTRE</t>
        </is>
      </c>
    </row>
    <row r="3620">
      <c r="B3620" s="22" t="inlineStr">
        <is>
          <t>MF8269 - AL NAHDHA SCHOOL   - SOLE PROPRIETORSHIP L.L.C.</t>
        </is>
      </c>
    </row>
    <row r="3621">
      <c r="B3621" s="22" t="inlineStr">
        <is>
          <t>MF8245 - ALLIANZ INSTALLER CLINIC</t>
        </is>
      </c>
    </row>
    <row r="3622">
      <c r="B3622" s="22" t="inlineStr">
        <is>
          <t>MF8228 - Applied Technology schools Alain - alhili girls clinic</t>
        </is>
      </c>
    </row>
    <row r="3623">
      <c r="B3623" s="22" t="inlineStr">
        <is>
          <t>MF8233 - PARADISE PLUS HAIR TANSPLANT - L.L.C - S.P.C</t>
        </is>
      </c>
    </row>
    <row r="3624">
      <c r="B3624" s="22" t="inlineStr">
        <is>
          <t>MF8268 - ZULU SMILES  DENTAL CLINIC - L.L.C - S.P.C</t>
        </is>
      </c>
    </row>
    <row r="3625">
      <c r="B3625" s="22" t="inlineStr">
        <is>
          <t>MF8315 - VISION &amp; STYLE OPTICALS (L.L.C) - BRANCH OF ABU DHABI</t>
        </is>
      </c>
    </row>
    <row r="3626">
      <c r="B3626" s="22" t="inlineStr">
        <is>
          <t>MF8538 - LLH  AL RAZEEN CLINIC ONE - L.L.C</t>
        </is>
      </c>
    </row>
    <row r="3627">
      <c r="B3627" s="22" t="inlineStr">
        <is>
          <t>MF8569 - YOUR SKIN TREATMENT OF DERMATOLOG - L.L.C - S.P.C</t>
        </is>
      </c>
    </row>
    <row r="3628">
      <c r="B3628" s="22" t="inlineStr">
        <is>
          <t>MF8627 - AL FORSAN INTERNATIONAL SPORT RESORT - L.L.C - S.P.C</t>
        </is>
      </c>
    </row>
    <row r="3630" ht="15" customHeight="1">
      <c r="J3630" s="130" t="n"/>
      <c r="K3630" s="130" t="n"/>
    </row>
    <row r="3654">
      <c r="B3654" s="22" t="inlineStr">
        <is>
          <t>Group</t>
        </is>
      </c>
    </row>
    <row r="3655">
      <c r="B3655" s="22" t="inlineStr">
        <is>
          <t>Select Group</t>
        </is>
      </c>
    </row>
    <row r="3656">
      <c r="B3656" s="22" t="inlineStr">
        <is>
          <t>PureHealth</t>
        </is>
      </c>
    </row>
    <row r="3657">
      <c r="B3657" s="22" t="inlineStr">
        <is>
          <t>Yas Health (Group)</t>
        </is>
      </c>
    </row>
    <row r="3658">
      <c r="B3658" s="22" t="inlineStr">
        <is>
          <t>Ain Al Khaleej (Group)</t>
        </is>
      </c>
    </row>
    <row r="3659">
      <c r="B3659" s="22" t="inlineStr">
        <is>
          <t>SMILE ART DENTAL AND ORTHODONTIC   L.L.C.</t>
        </is>
      </c>
    </row>
    <row r="3660">
      <c r="B3660" s="22" t="inlineStr">
        <is>
          <t>Marbella (Group)</t>
        </is>
      </c>
    </row>
    <row r="3661">
      <c r="B3661" s="22" t="inlineStr">
        <is>
          <t>Trust Vision Investment LLC</t>
        </is>
      </c>
    </row>
    <row r="3662">
      <c r="B3662" s="22" t="inlineStr">
        <is>
          <t>Al Manara (Group)</t>
        </is>
      </c>
    </row>
    <row r="3663">
      <c r="B3663" s="22" t="inlineStr">
        <is>
          <t>Dr. Abbas Hussain Mohammed Orthodontic And Dental Center Llc</t>
        </is>
      </c>
    </row>
    <row r="3664">
      <c r="B3664" s="22" t="inlineStr">
        <is>
          <t>NMC Healthcare (Group)</t>
        </is>
      </c>
    </row>
    <row r="3665">
      <c r="B3665" s="22" t="inlineStr">
        <is>
          <t>AL MAMOON MEDICAL CENTER L.L.C.</t>
        </is>
      </c>
    </row>
    <row r="3666">
      <c r="B3666" s="22" t="inlineStr">
        <is>
          <t>Euphoria Medical Centre Llc</t>
        </is>
      </c>
    </row>
    <row r="3667">
      <c r="B3667" s="22" t="inlineStr">
        <is>
          <t>Cosmopolitan Medical Centre - Abu Dhabi</t>
        </is>
      </c>
    </row>
    <row r="3668">
      <c r="B3668" s="22" t="inlineStr">
        <is>
          <t>Reem Hospital (Group)</t>
        </is>
      </c>
    </row>
    <row r="3669">
      <c r="B3669" s="22" t="inlineStr">
        <is>
          <t>Al Kamal Medical (Group)</t>
        </is>
      </c>
    </row>
    <row r="3670">
      <c r="B3670" s="22" t="inlineStr">
        <is>
          <t>Al Ain (Group)</t>
        </is>
      </c>
    </row>
    <row r="3671">
      <c r="B3671" s="22" t="inlineStr">
        <is>
          <t>Al Ameen (Group)</t>
        </is>
      </c>
    </row>
    <row r="3672">
      <c r="B3672" s="22" t="inlineStr">
        <is>
          <t>Healthgo Group</t>
        </is>
      </c>
    </row>
    <row r="3673">
      <c r="B3673" s="22" t="inlineStr">
        <is>
          <t>Diamond (Group)</t>
        </is>
      </c>
    </row>
    <row r="3674">
      <c r="B3674" s="22" t="inlineStr">
        <is>
          <t>Sadd Maareb Medical (Group)</t>
        </is>
      </c>
    </row>
    <row r="3675">
      <c r="B3675" s="22" t="inlineStr">
        <is>
          <t>Dental Design Clinic Llc</t>
        </is>
      </c>
    </row>
    <row r="3676">
      <c r="B3676" s="22" t="inlineStr">
        <is>
          <t>Smile Alreem Dental Center Llc</t>
        </is>
      </c>
    </row>
    <row r="3677">
      <c r="B3677" s="22" t="inlineStr">
        <is>
          <t>Adam &amp; Eve (Group)</t>
        </is>
      </c>
    </row>
    <row r="3678">
      <c r="B3678" s="22" t="inlineStr">
        <is>
          <t>Baynunah Dental Clinic Llc</t>
        </is>
      </c>
    </row>
    <row r="3679">
      <c r="B3679" s="22" t="inlineStr">
        <is>
          <t>Medlife Medical Centre Llc</t>
        </is>
      </c>
    </row>
    <row r="3680">
      <c r="B3680" s="22" t="inlineStr">
        <is>
          <t>M42</t>
        </is>
      </c>
    </row>
    <row r="3681">
      <c r="B3681" s="22" t="inlineStr">
        <is>
          <t>Zia Medical (Group)</t>
        </is>
      </c>
    </row>
    <row r="3682">
      <c r="B3682" s="22" t="inlineStr">
        <is>
          <t>Medicina (Group)</t>
        </is>
      </c>
    </row>
    <row r="3683">
      <c r="B3683" s="22" t="inlineStr">
        <is>
          <t>Al Farhan (Group)</t>
        </is>
      </c>
    </row>
    <row r="3684">
      <c r="B3684" s="22" t="inlineStr">
        <is>
          <t>Emirates French (Group)</t>
        </is>
      </c>
    </row>
    <row r="3685">
      <c r="B3685" s="22" t="inlineStr">
        <is>
          <t>Panorama (Group)</t>
        </is>
      </c>
    </row>
    <row r="3686">
      <c r="B3686" s="22" t="inlineStr">
        <is>
          <t>City Clinic (Group)</t>
        </is>
      </c>
    </row>
    <row r="3687">
      <c r="B3687" s="22" t="inlineStr">
        <is>
          <t>Health First Investment (Group)</t>
        </is>
      </c>
    </row>
    <row r="3688">
      <c r="B3688" s="22" t="inlineStr">
        <is>
          <t>Urgent Care Medical Center Llc Sole Proprietorship Llc</t>
        </is>
      </c>
    </row>
    <row r="3689">
      <c r="B3689" s="22" t="inlineStr">
        <is>
          <t>Mother Pharmacy</t>
        </is>
      </c>
    </row>
    <row r="3690">
      <c r="B3690" s="22" t="inlineStr">
        <is>
          <t>Elyzee (Group)</t>
        </is>
      </c>
    </row>
    <row r="3691">
      <c r="B3691" s="22" t="inlineStr">
        <is>
          <t>iris medical centre llc</t>
        </is>
      </c>
    </row>
    <row r="3692">
      <c r="B3692" s="22" t="inlineStr">
        <is>
          <t>Mediclinic (Group)</t>
        </is>
      </c>
    </row>
    <row r="3693">
      <c r="B3693" s="22" t="inlineStr">
        <is>
          <t>Elegance Medical (Group)</t>
        </is>
      </c>
    </row>
    <row r="3694">
      <c r="B3694" s="22" t="inlineStr">
        <is>
          <t>Al Maria Medical Center (Group)</t>
        </is>
      </c>
    </row>
    <row r="3695">
      <c r="B3695" s="22" t="inlineStr">
        <is>
          <t>Canadian Medical (Group)</t>
        </is>
      </c>
    </row>
    <row r="3696">
      <c r="B3696" s="22" t="inlineStr">
        <is>
          <t>Sama Tabrizi Dentistry LLC - Branch</t>
        </is>
      </c>
    </row>
    <row r="3697">
      <c r="B3697" s="22" t="inlineStr">
        <is>
          <t>ASPETAR DENTAL CLINIC - BRANCH</t>
        </is>
      </c>
    </row>
    <row r="3698">
      <c r="B3698" s="22" t="inlineStr">
        <is>
          <t>Burjeel Holdings</t>
        </is>
      </c>
    </row>
    <row r="3699">
      <c r="B3699" s="22" t="inlineStr">
        <is>
          <t>Al Ahlia (Group)</t>
        </is>
      </c>
    </row>
    <row r="3700">
      <c r="B3700" s="22" t="inlineStr">
        <is>
          <t>Dr Tabrizi (Group)</t>
        </is>
      </c>
    </row>
    <row r="3701">
      <c r="B3701" s="22" t="inlineStr">
        <is>
          <t>Central Private (Group)</t>
        </is>
      </c>
    </row>
    <row r="3702">
      <c r="B3702" s="22" t="inlineStr">
        <is>
          <t>Mount Pharmacy</t>
        </is>
      </c>
    </row>
    <row r="3703">
      <c r="B3703" s="22" t="inlineStr">
        <is>
          <t>Aspetar Dental (Group)</t>
        </is>
      </c>
    </row>
    <row r="3704">
      <c r="B3704" s="22" t="inlineStr">
        <is>
          <t>Medicine Plus Pharmacy</t>
        </is>
      </c>
    </row>
    <row r="3705">
      <c r="B3705" s="22" t="inlineStr">
        <is>
          <t>Hollywood Smile Medical Center</t>
        </is>
      </c>
    </row>
    <row r="3706">
      <c r="B3706" s="22" t="inlineStr">
        <is>
          <t>FAZAA GROUP</t>
        </is>
      </c>
    </row>
    <row r="3707">
      <c r="B3707" s="22" t="inlineStr">
        <is>
          <t>Apollo Medical (Group)</t>
        </is>
      </c>
    </row>
    <row r="3708">
      <c r="B3708" s="22" t="inlineStr">
        <is>
          <t>Ghanim Medical Center L.L.C.</t>
        </is>
      </c>
    </row>
    <row r="3709">
      <c r="B3709" s="22" t="inlineStr">
        <is>
          <t>The Heart MC (Group)</t>
        </is>
      </c>
    </row>
    <row r="3710">
      <c r="B3710" s="22" t="inlineStr">
        <is>
          <t>AL KHAN DENTAL CLINIC L.L.C.</t>
        </is>
      </c>
    </row>
    <row r="3711">
      <c r="B3711" s="22" t="inlineStr">
        <is>
          <t>Sea City (Group)</t>
        </is>
      </c>
    </row>
    <row r="3712">
      <c r="B3712" s="22" t="inlineStr">
        <is>
          <t>ADNOC (Group)</t>
        </is>
      </c>
    </row>
    <row r="3713">
      <c r="B3713" s="22" t="inlineStr">
        <is>
          <t>Alpine Medical Centre</t>
        </is>
      </c>
    </row>
    <row r="3714">
      <c r="B3714" s="22" t="inlineStr">
        <is>
          <t>Al Dera Dental Clinic ? Sole Proprietorship L.L.C.</t>
        </is>
      </c>
    </row>
    <row r="3715">
      <c r="B3715" s="22" t="inlineStr">
        <is>
          <t>Samaya (Group)</t>
        </is>
      </c>
    </row>
    <row r="3716">
      <c r="B3716" s="22" t="inlineStr">
        <is>
          <t>Al Roudha Medical (Group)</t>
        </is>
      </c>
    </row>
    <row r="3717">
      <c r="B3717" s="22" t="inlineStr">
        <is>
          <t>Al Aahed Medical Centre - Sole Proprietorship Llc</t>
        </is>
      </c>
    </row>
    <row r="3718">
      <c r="B3718" s="22" t="inlineStr">
        <is>
          <t>BARARI MEDICAL FOR ONE DAY SURGERY CENTER L.L.C</t>
        </is>
      </c>
    </row>
    <row r="3719">
      <c r="B3719" s="22" t="inlineStr">
        <is>
          <t>LULU RAHA PHARMACY - LLC - BRANCH 1</t>
        </is>
      </c>
    </row>
    <row r="3720">
      <c r="B3720" s="22" t="inlineStr">
        <is>
          <t>Shadi International Dental &amp; Orthodontic (Group)</t>
        </is>
      </c>
    </row>
    <row r="3721">
      <c r="B3721" s="22" t="inlineStr">
        <is>
          <t>Hafeet Pharmacy (Group)</t>
        </is>
      </c>
    </row>
    <row r="3722">
      <c r="B3722" s="22" t="inlineStr">
        <is>
          <t>Aster Group</t>
        </is>
      </c>
    </row>
    <row r="3723">
      <c r="B3723" s="22" t="inlineStr">
        <is>
          <t>Landmark Plaza (Group)</t>
        </is>
      </c>
    </row>
    <row r="3724">
      <c r="B3724" s="22" t="inlineStr">
        <is>
          <t>Hala (Group)</t>
        </is>
      </c>
    </row>
    <row r="3725">
      <c r="B3725" s="22" t="inlineStr">
        <is>
          <t>Emirates International (Group)</t>
        </is>
      </c>
    </row>
    <row r="3726">
      <c r="B3726" s="22" t="inlineStr">
        <is>
          <t>Irvine (Group)</t>
        </is>
      </c>
    </row>
    <row r="3727">
      <c r="B3727" s="22" t="inlineStr">
        <is>
          <t>Newcastle Pharmacy</t>
        </is>
      </c>
    </row>
    <row r="3728">
      <c r="B3728" s="22" t="inlineStr">
        <is>
          <t>Alrehab Medical Center Llc</t>
        </is>
      </c>
    </row>
    <row r="3729">
      <c r="B3729" s="22" t="inlineStr">
        <is>
          <t>Al Bustan (Group)</t>
        </is>
      </c>
    </row>
    <row r="3730">
      <c r="B3730" s="22" t="inlineStr">
        <is>
          <t>Dr Mubarak Shaikh Medical (Group)</t>
        </is>
      </c>
    </row>
    <row r="3731">
      <c r="B3731" s="22" t="inlineStr">
        <is>
          <t>Medical Park (Group)</t>
        </is>
      </c>
    </row>
    <row r="3732">
      <c r="B3732" s="22" t="inlineStr">
        <is>
          <t>Royal Health Group</t>
        </is>
      </c>
    </row>
    <row r="3733">
      <c r="B3733" s="22" t="inlineStr">
        <is>
          <t>One Eighty Medical Center</t>
        </is>
      </c>
    </row>
    <row r="3734">
      <c r="B3734" s="22" t="inlineStr">
        <is>
          <t>Al Sultan Advanced Medical (Group)</t>
        </is>
      </c>
    </row>
    <row r="3735">
      <c r="B3735" s="22" t="inlineStr">
        <is>
          <t>Al Bahri Dental And Orthodontic Center Llc</t>
        </is>
      </c>
    </row>
    <row r="3736">
      <c r="B3736" s="22" t="inlineStr">
        <is>
          <t>My Health Medical Centre Sole Proprietorship Llc</t>
        </is>
      </c>
    </row>
    <row r="3737">
      <c r="B3737" s="22" t="inlineStr">
        <is>
          <t>Al Raha (Group)</t>
        </is>
      </c>
    </row>
    <row r="3738">
      <c r="B3738" s="22" t="inlineStr">
        <is>
          <t>YOUSEF KHALIFA SALEM</t>
        </is>
      </c>
    </row>
    <row r="3739">
      <c r="B3739" s="22" t="inlineStr">
        <is>
          <t>Dr Nasser Medical Center</t>
        </is>
      </c>
    </row>
    <row r="3740">
      <c r="B3740" s="22" t="inlineStr">
        <is>
          <t>Novomed (Group)</t>
        </is>
      </c>
    </row>
    <row r="3741">
      <c r="B3741" s="22" t="inlineStr">
        <is>
          <t>Kohat (Group)</t>
        </is>
      </c>
    </row>
    <row r="3742">
      <c r="B3742" s="22" t="inlineStr">
        <is>
          <t>Al Maqam Pharmacy</t>
        </is>
      </c>
    </row>
    <row r="3743">
      <c r="B3743" s="22" t="inlineStr">
        <is>
          <t>Serenity Dental (Group)</t>
        </is>
      </c>
    </row>
    <row r="3744">
      <c r="B3744" s="22" t="inlineStr">
        <is>
          <t>Urban (Group)</t>
        </is>
      </c>
    </row>
    <row r="3745">
      <c r="B3745" s="22" t="inlineStr">
        <is>
          <t>DEEP OCEAN PHARMACY</t>
        </is>
      </c>
    </row>
    <row r="3746">
      <c r="B3746" s="22" t="inlineStr">
        <is>
          <t>Al Amir Pharmacy</t>
        </is>
      </c>
    </row>
    <row r="3747">
      <c r="B3747" s="22" t="inlineStr">
        <is>
          <t>Oasis (Group)</t>
        </is>
      </c>
    </row>
    <row r="3748">
      <c r="B3748" s="22" t="inlineStr">
        <is>
          <t>ROYAL MEDICAL CENTER ONE DAY SURGERY L.L.C.</t>
        </is>
      </c>
    </row>
    <row r="3749">
      <c r="B3749" s="22" t="inlineStr">
        <is>
          <t>FOREVER WELLNESS MEDICAL CENTER - SOLE PROPRIETORSHIP L.L.C.</t>
        </is>
      </c>
    </row>
    <row r="3750">
      <c r="B3750" s="22" t="inlineStr">
        <is>
          <t>Dubai Smile (Group)</t>
        </is>
      </c>
    </row>
    <row r="3751">
      <c r="B3751" s="22" t="inlineStr">
        <is>
          <t>YAS PHYSIOTHERAPY CENTER L.L.C. - BRANCH</t>
        </is>
      </c>
    </row>
    <row r="3752">
      <c r="B3752" s="22" t="inlineStr">
        <is>
          <t>Etihad Airways Pjsc (Etihad Airways Polyclinic)</t>
        </is>
      </c>
    </row>
    <row r="3753">
      <c r="B3753" s="22" t="inlineStr">
        <is>
          <t>SHAIKH HAZZA KHALIFA SULTAN</t>
        </is>
      </c>
    </row>
    <row r="3754">
      <c r="B3754" s="22" t="inlineStr">
        <is>
          <t>Ishtar Medical Centre Llc</t>
        </is>
      </c>
    </row>
    <row r="3755">
      <c r="B3755" s="22" t="inlineStr">
        <is>
          <t>Lotus Holistic (Group)</t>
        </is>
      </c>
    </row>
    <row r="3756">
      <c r="B3756" s="22" t="inlineStr">
        <is>
          <t>HEALTH TIME MEDICAL CENTRE</t>
        </is>
      </c>
    </row>
    <row r="3757">
      <c r="B3757" s="22" t="n">
        <v>0</v>
      </c>
    </row>
    <row r="3758">
      <c r="B3758" s="22" t="inlineStr">
        <is>
          <t>PRIORY HEALTHCARE L.L.C</t>
        </is>
      </c>
    </row>
    <row r="3759">
      <c r="B3759" s="22" t="inlineStr">
        <is>
          <t>Prestige Pharmacy</t>
        </is>
      </c>
    </row>
    <row r="3760">
      <c r="B3760" s="22" t="inlineStr">
        <is>
          <t>American Crescent Health Care Centre</t>
        </is>
      </c>
    </row>
    <row r="3761">
      <c r="B3761" s="22" t="inlineStr">
        <is>
          <t>Cambridge Medical &amp; Rehabilitation (Group)</t>
        </is>
      </c>
    </row>
    <row r="3762">
      <c r="B3762" s="22" t="inlineStr">
        <is>
          <t>Medcart Pharmacy L.L.C Branch</t>
        </is>
      </c>
    </row>
    <row r="3763">
      <c r="B3763" s="22" t="inlineStr">
        <is>
          <t>American Dental Centre</t>
        </is>
      </c>
    </row>
    <row r="3764">
      <c r="B3764" s="22" t="inlineStr">
        <is>
          <t>MUNICH MEDICAL AND REHABILITION CENTER LLC (Group)</t>
        </is>
      </c>
    </row>
    <row r="3765">
      <c r="B3765" s="22" t="inlineStr">
        <is>
          <t>Manchester Dental and American Cosmetic (Group)</t>
        </is>
      </c>
    </row>
    <row r="3766">
      <c r="B3766" s="22" t="inlineStr">
        <is>
          <t>Bashira Specialized Medical Clinic</t>
        </is>
      </c>
    </row>
    <row r="3767">
      <c r="B3767" s="22" t="inlineStr">
        <is>
          <t>Health Line Medical (Group)</t>
        </is>
      </c>
    </row>
    <row r="3768">
      <c r="B3768" s="22" t="inlineStr">
        <is>
          <t>DM Healthcare (Group)</t>
        </is>
      </c>
    </row>
    <row r="3769">
      <c r="B3769" s="22" t="inlineStr">
        <is>
          <t>Life Home Healthcare (Group)</t>
        </is>
      </c>
    </row>
    <row r="3770">
      <c r="B3770" s="22" t="inlineStr">
        <is>
          <t>Al Razi City Medical Center Llc</t>
        </is>
      </c>
    </row>
    <row r="3771">
      <c r="B3771" s="22" t="inlineStr">
        <is>
          <t>Exeter (Group)</t>
        </is>
      </c>
    </row>
    <row r="3772">
      <c r="B3772" s="22" t="inlineStr">
        <is>
          <t>Arabian Specialist (Group)</t>
        </is>
      </c>
    </row>
    <row r="3773">
      <c r="B3773" s="22" t="inlineStr">
        <is>
          <t>Infinti Medical Center Llc</t>
        </is>
      </c>
    </row>
    <row r="3774">
      <c r="B3774" s="22" t="inlineStr">
        <is>
          <t>LEVANTINE MEDICAL CENTER (Group)</t>
        </is>
      </c>
    </row>
    <row r="3775">
      <c r="B3775" s="22" t="inlineStr">
        <is>
          <t>Al Taie Center For Laparoscopic And Obesity Surgery Llc Branch Of Abu Dhabi 1</t>
        </is>
      </c>
    </row>
    <row r="3776">
      <c r="B3776" s="22" t="inlineStr">
        <is>
          <t>Point Care Pharmacy</t>
        </is>
      </c>
    </row>
    <row r="3777">
      <c r="B3777" s="22" t="inlineStr">
        <is>
          <t>Philosophy of Medicine Pharmacy</t>
        </is>
      </c>
    </row>
    <row r="3778">
      <c r="B3778" s="22" t="inlineStr">
        <is>
          <t>Consultants Medical Centre</t>
        </is>
      </c>
    </row>
    <row r="3779">
      <c r="B3779" s="22" t="inlineStr">
        <is>
          <t>RANA MEDICAL CENTRE L.L.C (Group)</t>
        </is>
      </c>
    </row>
    <row r="3780">
      <c r="B3780" s="22" t="inlineStr">
        <is>
          <t>HEALTH TIME PHARMACY</t>
        </is>
      </c>
    </row>
    <row r="3781">
      <c r="B3781" s="22" t="inlineStr">
        <is>
          <t>Al Amal Medical (Group)</t>
        </is>
      </c>
    </row>
    <row r="3782">
      <c r="B3782" s="22" t="inlineStr">
        <is>
          <t>Bin Sulaiman (Group)</t>
        </is>
      </c>
    </row>
    <row r="3783">
      <c r="B3783" s="22" t="inlineStr">
        <is>
          <t>Arab Euro Home Nursing (Group)</t>
        </is>
      </c>
    </row>
    <row r="3784">
      <c r="B3784" s="22" t="inlineStr">
        <is>
          <t>Shifa Healthcare facilities (Group)</t>
        </is>
      </c>
    </row>
    <row r="3785">
      <c r="B3785" s="22" t="inlineStr">
        <is>
          <t>Perfect Care Medical Center Llc</t>
        </is>
      </c>
    </row>
    <row r="3786">
      <c r="B3786" s="22" t="inlineStr">
        <is>
          <t>Medicine Mart Pharmacy LLC</t>
        </is>
      </c>
    </row>
    <row r="3787">
      <c r="B3787" s="22" t="inlineStr">
        <is>
          <t>French Dental Aesthetic (Group)</t>
        </is>
      </c>
    </row>
    <row r="3788">
      <c r="B3788" s="22" t="inlineStr">
        <is>
          <t>Magrabi (Group)</t>
        </is>
      </c>
    </row>
    <row r="3789">
      <c r="B3789" s="22" t="inlineStr">
        <is>
          <t>Whitefield Dental Clinic</t>
        </is>
      </c>
    </row>
    <row r="3790">
      <c r="B3790" s="22" t="inlineStr">
        <is>
          <t>Global Care Hospital - Sole Proprietorship LLC</t>
        </is>
      </c>
    </row>
    <row r="3791">
      <c r="B3791" s="22" t="inlineStr">
        <is>
          <t>Al Hikma Medical (Group)</t>
        </is>
      </c>
    </row>
    <row r="3792">
      <c r="B3792" s="22" t="inlineStr">
        <is>
          <t>Bombay Medical Center Llc</t>
        </is>
      </c>
    </row>
    <row r="3793">
      <c r="B3793" s="22" t="inlineStr">
        <is>
          <t>ONELIFE MEDICAL CENTRE L L C</t>
        </is>
      </c>
    </row>
    <row r="3794">
      <c r="B3794" s="22" t="inlineStr">
        <is>
          <t>Appolonia Pediatric Dental Center Llc</t>
        </is>
      </c>
    </row>
    <row r="3795">
      <c r="B3795" s="22" t="inlineStr">
        <is>
          <t>4 U medical center sole proprietorship llc</t>
        </is>
      </c>
    </row>
    <row r="3796">
      <c r="B3796" s="22" t="inlineStr">
        <is>
          <t xml:space="preserve">ORCHID PHARMACY </t>
        </is>
      </c>
    </row>
    <row r="3797">
      <c r="B3797" s="22" t="inlineStr">
        <is>
          <t>Marina Medical Centre L.L.C</t>
        </is>
      </c>
    </row>
    <row r="3798">
      <c r="B3798" s="22" t="inlineStr">
        <is>
          <t>Wellness One Day Surgery Center Llc</t>
        </is>
      </c>
    </row>
    <row r="3799">
      <c r="B3799" s="22" t="inlineStr">
        <is>
          <t>Dr. Fawziea Khalfan Medical Centre L.L.C</t>
        </is>
      </c>
    </row>
    <row r="3800">
      <c r="B3800" s="22" t="inlineStr">
        <is>
          <t>Emirates Advanced Rehabilitation Of Children Center</t>
        </is>
      </c>
    </row>
    <row r="3801">
      <c r="B3801" s="22" t="inlineStr">
        <is>
          <t>New University (Group)</t>
        </is>
      </c>
    </row>
    <row r="3802">
      <c r="B3802" s="22" t="inlineStr">
        <is>
          <t>Dublin Health Services (Group)</t>
        </is>
      </c>
    </row>
    <row r="3803">
      <c r="B3803" s="22" t="inlineStr">
        <is>
          <t>Maribel Dental Centre</t>
        </is>
      </c>
    </row>
    <row r="3804">
      <c r="B3804" s="22" t="inlineStr">
        <is>
          <t>ROYAL TOP PHARMACY - SOLE PROPRIETORSHIP L.L.C.</t>
        </is>
      </c>
    </row>
    <row r="3805">
      <c r="B3805" s="22" t="inlineStr">
        <is>
          <t>Salamatk Pharmacy</t>
        </is>
      </c>
    </row>
    <row r="3806">
      <c r="B3806" s="22" t="inlineStr">
        <is>
          <t>Al Shomoo (Group)</t>
        </is>
      </c>
    </row>
    <row r="3807">
      <c r="B3807" s="22" t="inlineStr">
        <is>
          <t>Khan (Group)</t>
        </is>
      </c>
    </row>
    <row r="3808">
      <c r="B3808" s="22" t="inlineStr">
        <is>
          <t>Right Health (Group)</t>
        </is>
      </c>
    </row>
    <row r="3809">
      <c r="B3809" s="22" t="inlineStr">
        <is>
          <t>Advance Cure (Group)</t>
        </is>
      </c>
    </row>
    <row r="3810">
      <c r="B3810" s="22" t="inlineStr">
        <is>
          <t>American Center For Psychiatry &amp; Neurology (Group)</t>
        </is>
      </c>
    </row>
    <row r="3811">
      <c r="B3811" s="22" t="inlineStr">
        <is>
          <t>Albayan (Group)</t>
        </is>
      </c>
    </row>
    <row r="3812">
      <c r="B3812" s="22" t="inlineStr">
        <is>
          <t>Swedish Medical Centre pharmacy LLC</t>
        </is>
      </c>
    </row>
    <row r="3813">
      <c r="B3813" s="22" t="inlineStr">
        <is>
          <t>Saba Medical Center Group</t>
        </is>
      </c>
    </row>
    <row r="3814">
      <c r="B3814" s="22" t="inlineStr">
        <is>
          <t>Shaheen Medical (Group)</t>
        </is>
      </c>
    </row>
    <row r="3815">
      <c r="B3815" s="22" t="inlineStr">
        <is>
          <t>Al Sham Dental Clinic</t>
        </is>
      </c>
    </row>
    <row r="3816">
      <c r="B3816" s="22" t="inlineStr">
        <is>
          <t>Aesthetic Dental Center Llc</t>
        </is>
      </c>
    </row>
    <row r="3817">
      <c r="B3817" s="22" t="inlineStr">
        <is>
          <t>Well Care (Group)</t>
        </is>
      </c>
    </row>
    <row r="3818">
      <c r="B3818" s="22" t="inlineStr">
        <is>
          <t>MAXIM MEDICAL CENTRE L.L.C</t>
        </is>
      </c>
    </row>
    <row r="3819">
      <c r="B3819" s="22" t="inlineStr">
        <is>
          <t>First Medical (Group)</t>
        </is>
      </c>
    </row>
    <row r="3820">
      <c r="B3820" s="22" t="inlineStr">
        <is>
          <t>Style Smile Advanced Dental Center Llc</t>
        </is>
      </c>
    </row>
    <row r="3821">
      <c r="B3821" s="22" t="inlineStr">
        <is>
          <t>Al Hendawy Medical (Group)</t>
        </is>
      </c>
    </row>
    <row r="3822">
      <c r="B3822" s="22" t="inlineStr">
        <is>
          <t>Specialized Dental (Group)</t>
        </is>
      </c>
    </row>
    <row r="3823">
      <c r="B3823" s="22" t="inlineStr">
        <is>
          <t>IRISH WELLNESS MEDICAL CENTER L.L.C</t>
        </is>
      </c>
    </row>
    <row r="3824">
      <c r="B3824" s="22" t="inlineStr">
        <is>
          <t>Marjan (Group)</t>
        </is>
      </c>
    </row>
    <row r="3825">
      <c r="B3825" s="22" t="inlineStr">
        <is>
          <t>AL RAI PHARMACY</t>
        </is>
      </c>
    </row>
    <row r="3826">
      <c r="B3826" s="22" t="inlineStr">
        <is>
          <t>AL MAGD (Group)</t>
        </is>
      </c>
    </row>
    <row r="3827">
      <c r="B3827" s="22" t="inlineStr">
        <is>
          <t>Emerald (Group)</t>
        </is>
      </c>
    </row>
    <row r="3828">
      <c r="B3828" s="22" t="inlineStr">
        <is>
          <t>London Consulting (Group)</t>
        </is>
      </c>
    </row>
    <row r="3829">
      <c r="B3829" s="22" t="inlineStr">
        <is>
          <t>Dr Mahmoud El Mahgary (Group)</t>
        </is>
      </c>
    </row>
    <row r="3830">
      <c r="B3830" s="22" t="inlineStr">
        <is>
          <t>Monalisa Dental Center-Sole Proprietorship L.L.C.</t>
        </is>
      </c>
    </row>
    <row r="3831">
      <c r="B3831" s="22" t="inlineStr">
        <is>
          <t>KAYA SKIN CARE CLINIC-BRANCH2</t>
        </is>
      </c>
    </row>
    <row r="3832">
      <c r="B3832" s="22" t="inlineStr">
        <is>
          <t>Extra Care (Group)</t>
        </is>
      </c>
    </row>
    <row r="3833">
      <c r="B3833" s="22" t="inlineStr">
        <is>
          <t>Sulaiman Medical Centre (Group)</t>
        </is>
      </c>
    </row>
    <row r="3834">
      <c r="B3834" s="22" t="inlineStr">
        <is>
          <t>HALEK LE HAMEK</t>
        </is>
      </c>
    </row>
    <row r="3835">
      <c r="B3835" s="22" t="inlineStr">
        <is>
          <t>NATIONAL HOSPITAL  - PROPRIETORSHIP L.L.C</t>
        </is>
      </c>
    </row>
    <row r="3836">
      <c r="B3836" s="22" t="inlineStr">
        <is>
          <t>Doctor Atiqur Rahman Polyclinic Llc</t>
        </is>
      </c>
    </row>
    <row r="3837">
      <c r="B3837" s="22" t="inlineStr">
        <is>
          <t>Al Thuraya Dental Implant Center Sole Proprietorship Llc</t>
        </is>
      </c>
    </row>
    <row r="3838">
      <c r="B3838" s="22" t="inlineStr">
        <is>
          <t>Akil Clinic</t>
        </is>
      </c>
    </row>
    <row r="3839">
      <c r="B3839" s="22" t="inlineStr">
        <is>
          <t>Sky Dental (Group)</t>
        </is>
      </c>
    </row>
    <row r="3840">
      <c r="B3840" s="22" t="inlineStr">
        <is>
          <t>Cope Medical Center</t>
        </is>
      </c>
    </row>
    <row r="3841">
      <c r="B3841" s="22" t="inlineStr">
        <is>
          <t>Manchester Dental Center</t>
        </is>
      </c>
    </row>
    <row r="3842">
      <c r="B3842" s="22" t="inlineStr">
        <is>
          <t>New Al Salam (Group)</t>
        </is>
      </c>
    </row>
    <row r="3843">
      <c r="B3843" s="22" t="inlineStr">
        <is>
          <t>Scottish Dental Center</t>
        </is>
      </c>
    </row>
    <row r="3844">
      <c r="B3844" s="22" t="inlineStr">
        <is>
          <t>Fatin (Group)</t>
        </is>
      </c>
    </row>
    <row r="3845">
      <c r="B3845" s="22" t="inlineStr">
        <is>
          <t>New Hyderabad Clinic</t>
        </is>
      </c>
    </row>
    <row r="3846">
      <c r="B3846" s="22" t="inlineStr">
        <is>
          <t>Universal Specialty Medical (Group)</t>
        </is>
      </c>
    </row>
    <row r="3847">
      <c r="B3847" s="22" t="inlineStr">
        <is>
          <t>Al Hosn (Group)</t>
        </is>
      </c>
    </row>
    <row r="3848">
      <c r="B3848" s="22" t="inlineStr">
        <is>
          <t>Ultra Medical (Group)</t>
        </is>
      </c>
    </row>
    <row r="3849">
      <c r="B3849" s="22" t="inlineStr">
        <is>
          <t>Golden Cure Group</t>
        </is>
      </c>
    </row>
    <row r="3850">
      <c r="B3850" s="22" t="inlineStr">
        <is>
          <t>INDUS MEDICAL CENTRE LLC</t>
        </is>
      </c>
    </row>
    <row r="3851">
      <c r="B3851" s="22" t="inlineStr">
        <is>
          <t>Sasan Opthalmic Specialized Clinic</t>
        </is>
      </c>
    </row>
    <row r="3852">
      <c r="B3852" s="22" t="inlineStr">
        <is>
          <t>Al Hilal Medical Clinic</t>
        </is>
      </c>
    </row>
    <row r="3853">
      <c r="B3853" s="22" t="inlineStr">
        <is>
          <t>Care Well Medical (Group)</t>
        </is>
      </c>
    </row>
    <row r="3854">
      <c r="B3854" s="22" t="inlineStr">
        <is>
          <t>Excellence Medical Center For Hearing And Balance</t>
        </is>
      </c>
    </row>
    <row r="3855">
      <c r="B3855" s="22" t="inlineStr">
        <is>
          <t>DR GUPTA MEDICAL CENTER  L.L.C.</t>
        </is>
      </c>
    </row>
    <row r="3856">
      <c r="B3856" s="22" t="inlineStr">
        <is>
          <t>New Famous Medical Center</t>
        </is>
      </c>
    </row>
    <row r="3857">
      <c r="B3857" s="22" t="inlineStr">
        <is>
          <t>Fanar (Group)</t>
        </is>
      </c>
    </row>
    <row r="3858">
      <c r="B3858" s="22" t="inlineStr">
        <is>
          <t>Royal Care (Group)</t>
        </is>
      </c>
    </row>
    <row r="3859">
      <c r="B3859" s="22" t="inlineStr">
        <is>
          <t>Davinci Dental Clinic</t>
        </is>
      </c>
    </row>
    <row r="3860">
      <c r="B3860" s="22" t="inlineStr">
        <is>
          <t>Al Andalus (Group)</t>
        </is>
      </c>
    </row>
    <row r="3861">
      <c r="B3861" s="22" t="inlineStr">
        <is>
          <t>Ferticlinic (Group)</t>
        </is>
      </c>
    </row>
    <row r="3862">
      <c r="B3862" s="22" t="inlineStr">
        <is>
          <t>Al Khaleej (Group)</t>
        </is>
      </c>
    </row>
    <row r="3863">
      <c r="B3863" s="22" t="inlineStr">
        <is>
          <t>Bawabat Al Shifa Pharmacy - Branch</t>
        </is>
      </c>
    </row>
    <row r="3864">
      <c r="B3864" s="22" t="inlineStr">
        <is>
          <t>Ibn Sina (Group)</t>
        </is>
      </c>
    </row>
    <row r="3865">
      <c r="B3865" s="22" t="inlineStr">
        <is>
          <t>Al Thabiya Pharmacy</t>
        </is>
      </c>
    </row>
    <row r="3866">
      <c r="B3866" s="22" t="inlineStr">
        <is>
          <t>Al Ain Modern Medical Group</t>
        </is>
      </c>
    </row>
    <row r="3867">
      <c r="B3867" s="22" t="inlineStr">
        <is>
          <t>Yateem (Group)</t>
        </is>
      </c>
    </row>
    <row r="3868">
      <c r="B3868" s="22" t="inlineStr">
        <is>
          <t>Update Medical Dental Polyclinic Umdc L.L.C.</t>
        </is>
      </c>
    </row>
    <row r="3869">
      <c r="B3869" s="22" t="inlineStr">
        <is>
          <t>Al Sham (Group)</t>
        </is>
      </c>
    </row>
    <row r="3870">
      <c r="B3870" s="22" t="inlineStr">
        <is>
          <t>Pattaya Medical Centre</t>
        </is>
      </c>
    </row>
    <row r="3871">
      <c r="B3871" s="22" t="inlineStr">
        <is>
          <t>PRISTINE DENTAL CLINIC</t>
        </is>
      </c>
    </row>
    <row r="3872">
      <c r="B3872" s="22" t="inlineStr">
        <is>
          <t>Dental Experts Center Llc</t>
        </is>
      </c>
    </row>
    <row r="3873">
      <c r="B3873" s="22" t="inlineStr">
        <is>
          <t>Clinica Smile Dental Center Llc</t>
        </is>
      </c>
    </row>
    <row r="3874">
      <c r="B3874" s="22" t="inlineStr">
        <is>
          <t>RESTART MEDICAL CENTER</t>
        </is>
      </c>
    </row>
    <row r="3875">
      <c r="B3875" s="22" t="inlineStr">
        <is>
          <t>Al Rahat Medical Centre</t>
        </is>
      </c>
    </row>
    <row r="3876">
      <c r="B3876" s="22" t="inlineStr">
        <is>
          <t>Talat (Group)</t>
        </is>
      </c>
    </row>
    <row r="3877">
      <c r="B3877" s="22" t="inlineStr">
        <is>
          <t>Modern Center</t>
        </is>
      </c>
    </row>
    <row r="3878">
      <c r="B3878" s="22" t="inlineStr">
        <is>
          <t>Heart Beat Medical Centrer And One Day Surgery Llc</t>
        </is>
      </c>
    </row>
    <row r="3879">
      <c r="B3879" s="22" t="inlineStr">
        <is>
          <t>UAE University (Group)</t>
        </is>
      </c>
    </row>
    <row r="3880">
      <c r="B3880" s="22" t="inlineStr">
        <is>
          <t>BOURN HALL L.L.C - BRANCH OF ABU DHABI</t>
        </is>
      </c>
    </row>
    <row r="3881">
      <c r="B3881" s="22" t="inlineStr">
        <is>
          <t>Amrita Medical (Group)</t>
        </is>
      </c>
    </row>
    <row r="3882">
      <c r="B3882" s="22" t="inlineStr">
        <is>
          <t>ART Fertility Clinic [Group]</t>
        </is>
      </c>
    </row>
    <row r="3883">
      <c r="B3883" s="22" t="inlineStr">
        <is>
          <t>Diamond Smile Dental Center L.L.C.</t>
        </is>
      </c>
    </row>
    <row r="3884">
      <c r="B3884" s="22" t="inlineStr">
        <is>
          <t>MAXIM PHARMACY - SOLE PROPRIETORSHIP L.L.C</t>
        </is>
      </c>
    </row>
    <row r="3885">
      <c r="B3885" s="22" t="inlineStr">
        <is>
          <t>Al Taweelah (Group)</t>
        </is>
      </c>
    </row>
    <row r="3886">
      <c r="B3886" s="22" t="inlineStr">
        <is>
          <t xml:space="preserve">EMIRATES HOME CARE L.L.C </t>
        </is>
      </c>
    </row>
    <row r="3887">
      <c r="B3887" s="22" t="inlineStr">
        <is>
          <t>Junaid (Group)</t>
        </is>
      </c>
    </row>
    <row r="3888">
      <c r="B3888" s="22" t="inlineStr">
        <is>
          <t>Drops Pharmacy</t>
        </is>
      </c>
    </row>
    <row r="3889">
      <c r="B3889" s="22" t="inlineStr">
        <is>
          <t>SMILE DENTAL CLINIC L.L.C</t>
        </is>
      </c>
    </row>
    <row r="3890">
      <c r="B3890" s="22" t="inlineStr">
        <is>
          <t>Al Ain International  Medical Poly Clinic Llc</t>
        </is>
      </c>
    </row>
    <row r="3891">
      <c r="B3891" s="22" t="inlineStr">
        <is>
          <t>Harley Street (Group)</t>
        </is>
      </c>
    </row>
    <row r="3892">
      <c r="B3892" s="22" t="inlineStr">
        <is>
          <t>Al Khaja Medical Centre Llc</t>
        </is>
      </c>
    </row>
    <row r="3893">
      <c r="B3893" s="22" t="inlineStr">
        <is>
          <t>Al Diwan Dental Centre</t>
        </is>
      </c>
    </row>
    <row r="3894">
      <c r="B3894" s="22" t="inlineStr">
        <is>
          <t>Al Jimi (Group)</t>
        </is>
      </c>
    </row>
    <row r="3895">
      <c r="B3895" s="22" t="inlineStr">
        <is>
          <t>Mubarak Medical (Group)</t>
        </is>
      </c>
    </row>
    <row r="3896">
      <c r="B3896" s="22" t="inlineStr">
        <is>
          <t>Prime Cure (Group)</t>
        </is>
      </c>
    </row>
    <row r="3897">
      <c r="B3897" s="22" t="inlineStr">
        <is>
          <t>Pearly Smile (Group)</t>
        </is>
      </c>
    </row>
    <row r="3898">
      <c r="B3898" s="22" t="inlineStr">
        <is>
          <t>Dentacare (Group)</t>
        </is>
      </c>
    </row>
    <row r="3899">
      <c r="B3899" s="22" t="inlineStr">
        <is>
          <t>REYADA HOME HEALTH CARE SERVICES L.L.C.</t>
        </is>
      </c>
    </row>
    <row r="3900">
      <c r="B3900" s="22" t="inlineStr">
        <is>
          <t>Berlin Health Consultancy (Group)</t>
        </is>
      </c>
    </row>
    <row r="3901">
      <c r="B3901" s="22" t="inlineStr">
        <is>
          <t>K.K.T International Spine (Group)</t>
        </is>
      </c>
    </row>
    <row r="3902">
      <c r="B3902" s="22" t="inlineStr">
        <is>
          <t>Pattaya Pharmacy</t>
        </is>
      </c>
    </row>
    <row r="3903">
      <c r="B3903" s="22" t="inlineStr">
        <is>
          <t>Specialized University Medical (Group)</t>
        </is>
      </c>
    </row>
    <row r="3904">
      <c r="B3904" s="22" t="inlineStr">
        <is>
          <t>NATIONAL EMIRATES FOR MEDICAL SERVICES - SOLE PROPRIETORSHIP L.L.C</t>
        </is>
      </c>
    </row>
    <row r="3905">
      <c r="B3905" s="22" t="inlineStr">
        <is>
          <t>Lulu (Group)</t>
        </is>
      </c>
    </row>
    <row r="3906">
      <c r="B3906" s="22" t="inlineStr">
        <is>
          <t>Cosmetic Art Dental Center - Sole Proprietorship L.L.C</t>
        </is>
      </c>
    </row>
    <row r="3907">
      <c r="B3907" s="22" t="inlineStr">
        <is>
          <t>Max Care Medical Center (group)</t>
        </is>
      </c>
    </row>
    <row r="3908">
      <c r="B3908" s="22" t="inlineStr">
        <is>
          <t>SMART HEALTH PHARMACY</t>
        </is>
      </c>
    </row>
    <row r="3909">
      <c r="B3909" s="22" t="inlineStr">
        <is>
          <t>32 SMILES DENTAL CENTER L.L.C.</t>
        </is>
      </c>
    </row>
    <row r="3910">
      <c r="B3910" s="22" t="inlineStr">
        <is>
          <t>CITY PHARMACY COMPANY- WLL</t>
        </is>
      </c>
    </row>
    <row r="3911">
      <c r="B3911" s="22" t="inlineStr">
        <is>
          <t>Golden Care (Group)</t>
        </is>
      </c>
    </row>
    <row r="3912">
      <c r="B3912" s="22" t="inlineStr">
        <is>
          <t>Jordan Dental Clinic</t>
        </is>
      </c>
    </row>
    <row r="3913">
      <c r="B3913" s="22" t="inlineStr">
        <is>
          <t>Droncall Ltd</t>
        </is>
      </c>
    </row>
    <row r="3914">
      <c r="B3914" s="22" t="inlineStr">
        <is>
          <t>Top Care Medical (Group)</t>
        </is>
      </c>
    </row>
    <row r="3915">
      <c r="B3915" s="22" t="inlineStr">
        <is>
          <t>Future (Group)</t>
        </is>
      </c>
    </row>
    <row r="3916">
      <c r="B3916" s="22" t="inlineStr">
        <is>
          <t>Al Yahar Pharmacy Sole Proprietorship LLC</t>
        </is>
      </c>
    </row>
    <row r="3917">
      <c r="B3917" s="22" t="inlineStr">
        <is>
          <t>ASPEN Primary health care</t>
        </is>
      </c>
    </row>
    <row r="3918">
      <c r="B3918" s="22" t="inlineStr">
        <is>
          <t>Dr. Firas Dental And Orthodontic Center L.L.C.</t>
        </is>
      </c>
    </row>
    <row r="3919">
      <c r="B3919" s="22" t="inlineStr">
        <is>
          <t>European German Medical Center Llc</t>
        </is>
      </c>
    </row>
    <row r="3920">
      <c r="B3920" s="22" t="inlineStr">
        <is>
          <t>ULTRA AESTHETIC MEDICAL CENTER L.L.C.</t>
        </is>
      </c>
    </row>
    <row r="3921">
      <c r="B3921" s="22" t="inlineStr">
        <is>
          <t>Oris Dental (Group)</t>
        </is>
      </c>
    </row>
    <row r="3922">
      <c r="B3922" s="22" t="inlineStr">
        <is>
          <t>Bright Smile (Group)</t>
        </is>
      </c>
    </row>
    <row r="3923">
      <c r="B3923" s="22" t="inlineStr">
        <is>
          <t>Al Mulla Pharmacy Sole Proprietorship LLC</t>
        </is>
      </c>
    </row>
    <row r="3924">
      <c r="B3924" s="22" t="inlineStr">
        <is>
          <t>Green Apple Dental (Group)</t>
        </is>
      </c>
    </row>
    <row r="3925">
      <c r="B3925" s="22" t="inlineStr">
        <is>
          <t>LIFE MEDICAL DIAGNOSTICS LLC</t>
        </is>
      </c>
    </row>
    <row r="3926">
      <c r="B3926" s="22" t="inlineStr">
        <is>
          <t>Nahdi (Group)</t>
        </is>
      </c>
    </row>
    <row r="3927">
      <c r="B3927" s="22" t="inlineStr">
        <is>
          <t>Al Taj Pharmacy</t>
        </is>
      </c>
    </row>
    <row r="3928">
      <c r="B3928" s="22" t="inlineStr">
        <is>
          <t>Care First Medical Center Sole Proprietorship Llc</t>
        </is>
      </c>
    </row>
    <row r="3929">
      <c r="B3929" s="22" t="inlineStr">
        <is>
          <t>Alqaser Alainy Pharmacy LLC</t>
        </is>
      </c>
    </row>
    <row r="3930">
      <c r="B3930" s="22" t="inlineStr">
        <is>
          <t>Ghantoot Pharmacy</t>
        </is>
      </c>
    </row>
    <row r="3931">
      <c r="B3931" s="22" t="inlineStr">
        <is>
          <t>Country Pharmacy</t>
        </is>
      </c>
    </row>
    <row r="3932">
      <c r="B3932" s="22" t="inlineStr">
        <is>
          <t>Gulf International Cancer Center</t>
        </is>
      </c>
    </row>
    <row r="3933">
      <c r="B3933" s="22" t="inlineStr">
        <is>
          <t>Fatima Medical Center Llc</t>
        </is>
      </c>
    </row>
    <row r="3934">
      <c r="B3934" s="22" t="inlineStr">
        <is>
          <t>Nova Medical (Group)</t>
        </is>
      </c>
    </row>
    <row r="3935">
      <c r="B3935" s="22" t="inlineStr">
        <is>
          <t>Holistic Dental (Group)</t>
        </is>
      </c>
    </row>
    <row r="3936">
      <c r="B3936" s="22" t="inlineStr">
        <is>
          <t>Ideal Pharmacy LLC</t>
        </is>
      </c>
    </row>
    <row r="3937">
      <c r="B3937" s="22" t="inlineStr">
        <is>
          <t>ART FERTILITY CLINICS L.L.C. BRANCH</t>
        </is>
      </c>
    </row>
    <row r="3938">
      <c r="B3938" s="22" t="inlineStr">
        <is>
          <t>Al Rayashi (Group)</t>
        </is>
      </c>
    </row>
    <row r="3939">
      <c r="B3939" s="22" t="inlineStr">
        <is>
          <t>Paragon Pharmacy</t>
        </is>
      </c>
    </row>
    <row r="3940">
      <c r="B3940" s="22" t="inlineStr">
        <is>
          <t>Al Wahda Medical (Group)</t>
        </is>
      </c>
    </row>
    <row r="3941">
      <c r="B3941" s="22" t="inlineStr">
        <is>
          <t>SUNLIGHT PHARMACY - L.L.C</t>
        </is>
      </c>
    </row>
    <row r="3942">
      <c r="B3942" s="22" t="inlineStr">
        <is>
          <t>Mohammed Al Mahmood Medical Consultancy Center L.L.C.</t>
        </is>
      </c>
    </row>
    <row r="3943">
      <c r="B3943" s="22" t="inlineStr">
        <is>
          <t>Blue Ocean (Group)</t>
        </is>
      </c>
    </row>
    <row r="3944">
      <c r="B3944" s="22" t="inlineStr">
        <is>
          <t>Al Asria (Group)</t>
        </is>
      </c>
    </row>
    <row r="3945">
      <c r="B3945" s="22" t="inlineStr">
        <is>
          <t>Fine Care Specialized Medical Centre</t>
        </is>
      </c>
    </row>
    <row r="3946">
      <c r="B3946" s="22" t="inlineStr">
        <is>
          <t>TEBABAH HOME HEALTH CARE - SOLE PROPRIETORSHIP L.L.C.</t>
        </is>
      </c>
    </row>
    <row r="3947">
      <c r="B3947" s="22" t="inlineStr">
        <is>
          <t>Police GHQ (Group)</t>
        </is>
      </c>
    </row>
    <row r="3948">
      <c r="B3948" s="22" t="inlineStr">
        <is>
          <t>Nidham Ghiyathi Pharmacy</t>
        </is>
      </c>
    </row>
    <row r="3949">
      <c r="B3949" s="22" t="inlineStr">
        <is>
          <t>Golden Tulip (Group)</t>
        </is>
      </c>
    </row>
    <row r="3950">
      <c r="B3950" s="22" t="inlineStr">
        <is>
          <t>Supercare (Group)</t>
        </is>
      </c>
    </row>
    <row r="3951">
      <c r="B3951" s="22" t="inlineStr">
        <is>
          <t>Amwaj (Group)</t>
        </is>
      </c>
    </row>
    <row r="3952">
      <c r="B3952" s="22" t="inlineStr">
        <is>
          <t>Mayo Care Pharmacy</t>
        </is>
      </c>
    </row>
    <row r="3953">
      <c r="B3953" s="22" t="inlineStr">
        <is>
          <t>Tabarak Medical (Group)</t>
        </is>
      </c>
    </row>
    <row r="3954">
      <c r="B3954" s="22" t="inlineStr">
        <is>
          <t>Icon Clinic Llc</t>
        </is>
      </c>
    </row>
    <row r="3955">
      <c r="B3955" s="22" t="inlineStr">
        <is>
          <t>Gems Medical Clinic Llc</t>
        </is>
      </c>
    </row>
    <row r="3956">
      <c r="B3956" s="22" t="inlineStr">
        <is>
          <t>Health &amp; Style Medical Centre Llc</t>
        </is>
      </c>
    </row>
    <row r="3957">
      <c r="B3957" s="22" t="inlineStr">
        <is>
          <t>COSMI DERM MEDICAL CENTER L.L.C</t>
        </is>
      </c>
    </row>
    <row r="3958">
      <c r="B3958" s="22" t="inlineStr">
        <is>
          <t>Hamed Pharmacy</t>
        </is>
      </c>
    </row>
    <row r="3959">
      <c r="B3959" s="22" t="inlineStr">
        <is>
          <t>BUPA PHARMACY</t>
        </is>
      </c>
    </row>
    <row r="3960">
      <c r="B3960" s="22" t="inlineStr">
        <is>
          <t>Sparkle Dental (Group)</t>
        </is>
      </c>
    </row>
    <row r="3961">
      <c r="B3961" s="22" t="inlineStr">
        <is>
          <t>Al Nuaman Dental Medical Centre</t>
        </is>
      </c>
    </row>
    <row r="3962">
      <c r="B3962" s="22" t="inlineStr">
        <is>
          <t>NOUBEL REHABILITATION CENTER LLC [Group]</t>
        </is>
      </c>
    </row>
    <row r="3963">
      <c r="B3963" s="22" t="inlineStr">
        <is>
          <t>Rida Sodagar (Group)</t>
        </is>
      </c>
    </row>
    <row r="3964">
      <c r="B3964" s="22" t="inlineStr">
        <is>
          <t>Ayman Dental Centre</t>
        </is>
      </c>
    </row>
    <row r="3965">
      <c r="B3965" s="22" t="inlineStr">
        <is>
          <t>Abu Dhabi Dental (Group)</t>
        </is>
      </c>
    </row>
    <row r="3966">
      <c r="B3966" s="22" t="inlineStr">
        <is>
          <t>Seven Star Home Healthcare</t>
        </is>
      </c>
    </row>
    <row r="3967">
      <c r="B3967" s="22" t="inlineStr">
        <is>
          <t>AL AFDAL MEDICAL CENTER L.L.C.</t>
        </is>
      </c>
    </row>
    <row r="3968">
      <c r="B3968" s="22" t="inlineStr">
        <is>
          <t>Fine Care Pharmacy - Sole Proprietorship LLC</t>
        </is>
      </c>
    </row>
    <row r="3969">
      <c r="B3969" s="22" t="inlineStr">
        <is>
          <t>Nice Care Medical Center Llc</t>
        </is>
      </c>
    </row>
    <row r="3970">
      <c r="B3970" s="22" t="inlineStr">
        <is>
          <t>Dr. Muna Almurrawi Medical Center</t>
        </is>
      </c>
    </row>
    <row r="3971">
      <c r="B3971" s="22" t="inlineStr">
        <is>
          <t>AL BUROOJ PHARMACY - SOLE PROPRIETORSHIP L.L.C</t>
        </is>
      </c>
    </row>
    <row r="3972">
      <c r="B3972" s="22" t="inlineStr">
        <is>
          <t>Al Karama Medical Center Llc</t>
        </is>
      </c>
    </row>
    <row r="3973">
      <c r="B3973" s="22" t="inlineStr">
        <is>
          <t>DARQOON MEDICAL CENTER - L.L.C - O.P.C</t>
        </is>
      </c>
    </row>
    <row r="3974">
      <c r="B3974" s="22" t="inlineStr">
        <is>
          <t>Al Fuad Medical Centre</t>
        </is>
      </c>
    </row>
    <row r="3975">
      <c r="B3975" s="22" t="inlineStr">
        <is>
          <t>Mardan Medical Center - Sole Proprietorship Llc</t>
        </is>
      </c>
    </row>
    <row r="3976">
      <c r="B3976" s="22" t="inlineStr">
        <is>
          <t>Sama Alshamkha Pharmacy LLC LLC</t>
        </is>
      </c>
    </row>
    <row r="3977">
      <c r="B3977" s="22" t="inlineStr">
        <is>
          <t>National Petroleum Construction Company Medical Centre</t>
        </is>
      </c>
    </row>
    <row r="3978">
      <c r="B3978" s="22" t="inlineStr">
        <is>
          <t>Alhedaia Pharmacy</t>
        </is>
      </c>
    </row>
    <row r="3979">
      <c r="B3979" s="22" t="inlineStr">
        <is>
          <t>Be Well Specialized Medical Center-Sole Proprietorship Llc</t>
        </is>
      </c>
    </row>
    <row r="3980">
      <c r="B3980" s="22" t="inlineStr">
        <is>
          <t>Golden Choice Medical Center</t>
        </is>
      </c>
    </row>
    <row r="3981">
      <c r="B3981" s="22" t="inlineStr">
        <is>
          <t>Infinity Health Care Medical Center Llc</t>
        </is>
      </c>
    </row>
    <row r="3982">
      <c r="B3982" s="22" t="inlineStr">
        <is>
          <t>REVITAL REHABILITATION HOSPITAL</t>
        </is>
      </c>
    </row>
    <row r="3983">
      <c r="B3983" s="22" t="inlineStr">
        <is>
          <t>Cure Plus Medical Center (Group)</t>
        </is>
      </c>
    </row>
    <row r="3984">
      <c r="B3984" s="22" t="inlineStr">
        <is>
          <t>New Tower Pharmacy Group</t>
        </is>
      </c>
    </row>
    <row r="3985">
      <c r="B3985" s="22" t="inlineStr">
        <is>
          <t>Ideal Medical (Group)</t>
        </is>
      </c>
    </row>
    <row r="3986">
      <c r="B3986" s="22" t="inlineStr">
        <is>
          <t>RIVOLI EYE ZONE BR OD EXCEL ENTERPRISES ( L.L.C ) - BRANCH OF ABU DHABI 3</t>
        </is>
      </c>
    </row>
    <row r="3987">
      <c r="B3987" s="22" t="inlineStr">
        <is>
          <t>AL FREEJ MEDICAL HOME CARE</t>
        </is>
      </c>
    </row>
    <row r="3988">
      <c r="B3988" s="22" t="inlineStr">
        <is>
          <t>Noor Al Hayat Pharmacy</t>
        </is>
      </c>
    </row>
    <row r="3989">
      <c r="B3989" s="22" t="inlineStr">
        <is>
          <t>Barbara (Group)</t>
        </is>
      </c>
    </row>
    <row r="3990">
      <c r="B3990" s="22" t="inlineStr">
        <is>
          <t>Leon Dental Center Llc</t>
        </is>
      </c>
    </row>
    <row r="3991">
      <c r="B3991" s="22" t="inlineStr">
        <is>
          <t>Dr Ragheed Tawfeeq Dental Centre Llc</t>
        </is>
      </c>
    </row>
    <row r="3992">
      <c r="B3992" s="22" t="inlineStr">
        <is>
          <t>Juman Pearls Dental Clinic L.L.C.</t>
        </is>
      </c>
    </row>
    <row r="3993">
      <c r="B3993" s="22" t="inlineStr">
        <is>
          <t>Specialized Medical Care (Group)</t>
        </is>
      </c>
    </row>
    <row r="3994">
      <c r="B3994" s="22" t="inlineStr">
        <is>
          <t>Tarmeem Orthopedic And Spine Day Surgery Centre L.L.C</t>
        </is>
      </c>
    </row>
    <row r="3995">
      <c r="B3995" s="22" t="inlineStr">
        <is>
          <t>Al Qadi Medical (Group)</t>
        </is>
      </c>
    </row>
    <row r="3996">
      <c r="B3996" s="22" t="inlineStr">
        <is>
          <t>LIFECARE  MEDICAL CENTER</t>
        </is>
      </c>
    </row>
    <row r="3997">
      <c r="B3997" s="22" t="inlineStr">
        <is>
          <t>Millenium Hospital</t>
        </is>
      </c>
    </row>
    <row r="3998">
      <c r="B3998" s="22" t="inlineStr">
        <is>
          <t>Alfarabi Medical Center Llc</t>
        </is>
      </c>
    </row>
    <row r="3999">
      <c r="B3999" s="22" t="inlineStr">
        <is>
          <t>Classic Care Pharmacy</t>
        </is>
      </c>
    </row>
    <row r="4000">
      <c r="B4000" s="22" t="inlineStr">
        <is>
          <t>Petra Medical Care Centre Llc</t>
        </is>
      </c>
    </row>
    <row r="4001">
      <c r="B4001" s="22" t="inlineStr">
        <is>
          <t>Al Ahliya Grand (Group)</t>
        </is>
      </c>
    </row>
    <row r="4002">
      <c r="B4002" s="22" t="inlineStr">
        <is>
          <t>Motion Orthopedic Compensation Devices Lab Llc</t>
        </is>
      </c>
    </row>
    <row r="4003">
      <c r="B4003" s="22" t="inlineStr">
        <is>
          <t>Sleep Disorders Specialized Clinic</t>
        </is>
      </c>
    </row>
    <row r="4004">
      <c r="B4004" s="22" t="inlineStr">
        <is>
          <t>Paramount Dental Clinics Llc</t>
        </is>
      </c>
    </row>
    <row r="4005">
      <c r="B4005" s="22" t="inlineStr">
        <is>
          <t>Rashed Pharmacy (group)</t>
        </is>
      </c>
    </row>
    <row r="4006">
      <c r="B4006" s="22" t="inlineStr">
        <is>
          <t>AL HILAL HOURI MEDICAL EQUIPMENT L.L.C.</t>
        </is>
      </c>
    </row>
    <row r="4007">
      <c r="B4007" s="22" t="inlineStr">
        <is>
          <t>Golden Choice Pharmacy</t>
        </is>
      </c>
    </row>
    <row r="4008">
      <c r="B4008" s="22" t="inlineStr">
        <is>
          <t>RIGHT HEALTH PHARMACY - SOLE PROPRIETORSHIP L.L.C.</t>
        </is>
      </c>
    </row>
    <row r="4009">
      <c r="B4009" s="22" t="inlineStr">
        <is>
          <t>ACCURACY PLUS MEDICAL LABORATORY</t>
        </is>
      </c>
    </row>
    <row r="4010">
      <c r="B4010" s="22" t="inlineStr">
        <is>
          <t>Said Samara (Group)</t>
        </is>
      </c>
    </row>
    <row r="4011">
      <c r="B4011" s="22" t="inlineStr">
        <is>
          <t>MARIAM MEDICAL CENTER - SOLE PROPRIETORSHIP L.L.C.</t>
        </is>
      </c>
    </row>
    <row r="4012">
      <c r="B4012" s="22" t="inlineStr">
        <is>
          <t>Royal Spanish Center (Group)</t>
        </is>
      </c>
    </row>
    <row r="4013">
      <c r="B4013" s="22" t="inlineStr">
        <is>
          <t>Noor Al Shifa Pharmacy</t>
        </is>
      </c>
    </row>
    <row r="4014">
      <c r="B4014" s="22" t="inlineStr">
        <is>
          <t>Al Twoaili (Group)</t>
        </is>
      </c>
    </row>
    <row r="4015">
      <c r="B4015" s="22" t="inlineStr">
        <is>
          <t>AL NASR PHARMACY - LLC</t>
        </is>
      </c>
    </row>
    <row r="4016">
      <c r="B4016" s="22" t="inlineStr">
        <is>
          <t>White Pharmacy L.LC</t>
        </is>
      </c>
    </row>
    <row r="4017">
      <c r="B4017" s="22" t="inlineStr">
        <is>
          <t>Versa Medical Center</t>
        </is>
      </c>
    </row>
    <row r="4018">
      <c r="B4018" s="22" t="inlineStr">
        <is>
          <t>KOHAT MEDICAL CENTRE L.L.C.</t>
        </is>
      </c>
    </row>
    <row r="4019">
      <c r="B4019" s="22" t="inlineStr">
        <is>
          <t>Sama Alsham Dental &amp; Medical Center L.L.C.</t>
        </is>
      </c>
    </row>
    <row r="4020">
      <c r="B4020" s="22" t="inlineStr">
        <is>
          <t>Canadian Dental Clinic</t>
        </is>
      </c>
    </row>
    <row r="4021">
      <c r="B4021" s="22" t="inlineStr">
        <is>
          <t>BEAUTIFUL MIND PHARMACY - SOLE PROPRIETORSHIP L.L.C.</t>
        </is>
      </c>
    </row>
    <row r="4022">
      <c r="B4022" s="22" t="inlineStr">
        <is>
          <t xml:space="preserve">NURSES WITHOUT BORDERS HOME HEALTH CARE </t>
        </is>
      </c>
    </row>
    <row r="4023">
      <c r="B4023" s="22" t="inlineStr">
        <is>
          <t>Al Faisal Medical Center</t>
        </is>
      </c>
    </row>
    <row r="4024">
      <c r="B4024" s="22" t="inlineStr">
        <is>
          <t>Dr. Yamina Dehimi Clinic L.L.C.</t>
        </is>
      </c>
    </row>
    <row r="4025">
      <c r="B4025" s="22" t="inlineStr">
        <is>
          <t>Sama Alshamkha Medical Center Llc</t>
        </is>
      </c>
    </row>
    <row r="4026">
      <c r="B4026" s="22" t="inlineStr">
        <is>
          <t>PHARMACY ONE R</t>
        </is>
      </c>
    </row>
    <row r="4027">
      <c r="B4027" s="22" t="inlineStr">
        <is>
          <t>Modern Al Salam Orthodontics &amp; Dental Center</t>
        </is>
      </c>
    </row>
    <row r="4028">
      <c r="B4028" s="22" t="inlineStr">
        <is>
          <t>DOCTOR SHERIF MATTAR MEDICAL CENTER L.L.C</t>
        </is>
      </c>
    </row>
    <row r="4029">
      <c r="B4029" s="22" t="inlineStr">
        <is>
          <t>Golden Tulip Pharmacy LLC</t>
        </is>
      </c>
    </row>
    <row r="4030">
      <c r="B4030" s="22" t="inlineStr">
        <is>
          <t>Central Clinic Llc</t>
        </is>
      </c>
    </row>
    <row r="4031">
      <c r="B4031" s="22" t="inlineStr">
        <is>
          <t>AESTHETIC DERMAL MEDICAL CENTRE L.L.C. -BRANCH OF ABU DHABI 2</t>
        </is>
      </c>
    </row>
    <row r="4032">
      <c r="B4032" s="22" t="inlineStr">
        <is>
          <t>HEALTHSHADES MEDICAL CENTRE L.L.C.</t>
        </is>
      </c>
    </row>
    <row r="4033">
      <c r="B4033" s="22" t="inlineStr">
        <is>
          <t xml:space="preserve">MEDI LIFE PHARMACY L.L.C. - ELECTRA BRANCH </t>
        </is>
      </c>
    </row>
    <row r="4034">
      <c r="B4034" s="22" t="inlineStr">
        <is>
          <t>Taha (Group)</t>
        </is>
      </c>
    </row>
    <row r="4035">
      <c r="B4035" s="22" t="inlineStr">
        <is>
          <t>Super Dental Center</t>
        </is>
      </c>
    </row>
    <row r="4036">
      <c r="B4036" s="22" t="inlineStr">
        <is>
          <t>UNIQUE HOME HEALTH CARE SERVICES CENTER LLC</t>
        </is>
      </c>
    </row>
    <row r="4037">
      <c r="B4037" s="22" t="inlineStr">
        <is>
          <t>Al Rayyan Medical (Group)</t>
        </is>
      </c>
    </row>
    <row r="4038">
      <c r="B4038" s="22" t="inlineStr">
        <is>
          <t>Home Health Medical (Group)</t>
        </is>
      </c>
    </row>
    <row r="4039">
      <c r="B4039" s="22" t="inlineStr">
        <is>
          <t>Taj Dental Clinic</t>
        </is>
      </c>
    </row>
    <row r="4040">
      <c r="B4040" s="22" t="inlineStr">
        <is>
          <t>Alraya Medical Center - Sole Proprietorship L.L.C.</t>
        </is>
      </c>
    </row>
    <row r="4041">
      <c r="B4041" s="22" t="inlineStr">
        <is>
          <t>AD Civil Defense</t>
        </is>
      </c>
    </row>
    <row r="4042">
      <c r="B4042" s="22" t="inlineStr">
        <is>
          <t>Al Basheer Medical Centre Llc</t>
        </is>
      </c>
    </row>
    <row r="4043">
      <c r="B4043" s="22" t="inlineStr">
        <is>
          <t>ARAB FRENCH HOME HEALTH CARE -SOLE PROPRIETORSHIP L.L.C</t>
        </is>
      </c>
    </row>
    <row r="4044">
      <c r="B4044" s="22" t="inlineStr">
        <is>
          <t>PESHAWAR PHARMACY - L.L.C - O.P.C</t>
        </is>
      </c>
    </row>
    <row r="4045">
      <c r="B4045" s="22" t="inlineStr">
        <is>
          <t>Marigold Dental &amp; Orthodontic Clinic Llc</t>
        </is>
      </c>
    </row>
    <row r="4046">
      <c r="B4046" s="22" t="inlineStr">
        <is>
          <t>Al Daman (Group)</t>
        </is>
      </c>
    </row>
    <row r="4047">
      <c r="B4047" s="22" t="inlineStr">
        <is>
          <t>RIGHT CHOICE HEALTH PHARMACY</t>
        </is>
      </c>
    </row>
    <row r="4048">
      <c r="B4048" s="22" t="inlineStr">
        <is>
          <t>High Class Medical Center</t>
        </is>
      </c>
    </row>
    <row r="4049">
      <c r="B4049" s="22" t="inlineStr">
        <is>
          <t>HAPPY SMILE DENTAL CLINIC</t>
        </is>
      </c>
    </row>
    <row r="4050">
      <c r="B4050" s="22" t="inlineStr">
        <is>
          <t>Al Ittihad Medical Centre Llc</t>
        </is>
      </c>
    </row>
    <row r="4051">
      <c r="B4051" s="22" t="inlineStr">
        <is>
          <t>Lilac Medical Centre L.L.C.</t>
        </is>
      </c>
    </row>
    <row r="4052">
      <c r="B4052" s="22" t="inlineStr">
        <is>
          <t>Brashov Pharmacy</t>
        </is>
      </c>
    </row>
    <row r="4053">
      <c r="B4053" s="22" t="inlineStr">
        <is>
          <t>DR RASHED AL SHAEEL MEDICAL CENTER L.L.C</t>
        </is>
      </c>
    </row>
    <row r="4054">
      <c r="B4054" s="22" t="inlineStr">
        <is>
          <t>Bain Al Jusrain Pharmacy</t>
        </is>
      </c>
    </row>
    <row r="4055">
      <c r="B4055" s="22" t="inlineStr">
        <is>
          <t>Arabian Island Medical (Group)</t>
        </is>
      </c>
    </row>
    <row r="4056">
      <c r="B4056" s="22" t="inlineStr">
        <is>
          <t>Asmat Dental Medical Center</t>
        </is>
      </c>
    </row>
    <row r="4057">
      <c r="B4057" s="22" t="inlineStr">
        <is>
          <t>Dr. Walaa Fakhr Medical Centre</t>
        </is>
      </c>
    </row>
    <row r="4058">
      <c r="B4058" s="22" t="inlineStr">
        <is>
          <t>HOLISTIC MEDICAL CENTRE</t>
        </is>
      </c>
    </row>
    <row r="4059">
      <c r="B4059" s="22" t="inlineStr">
        <is>
          <t>AMERICAN EUROPEAN MEDICAL CENTER</t>
        </is>
      </c>
    </row>
    <row r="4060">
      <c r="B4060" s="22" t="inlineStr">
        <is>
          <t>DERMA MEDICAL CENTER - SOLE PROPRIETORSHIP L.L.C.</t>
        </is>
      </c>
    </row>
    <row r="4061">
      <c r="B4061" s="22" t="inlineStr">
        <is>
          <t>Wellness Pharmacy LLC</t>
        </is>
      </c>
    </row>
    <row r="4062">
      <c r="B4062" s="22" t="inlineStr">
        <is>
          <t>Appolonia Advanced Pediatric Dental Center Llc</t>
        </is>
      </c>
    </row>
    <row r="4063">
      <c r="B4063" s="22" t="inlineStr">
        <is>
          <t>Smile Rite Dental Care L.L.C.</t>
        </is>
      </c>
    </row>
    <row r="4064">
      <c r="B4064" s="22" t="inlineStr">
        <is>
          <t>AL BORG DIAGNOSTIC CENTRE FOR LABORATORIES L.L.C.</t>
        </is>
      </c>
    </row>
    <row r="4065">
      <c r="B4065" s="22" t="inlineStr">
        <is>
          <t>AVIVO (Group)</t>
        </is>
      </c>
    </row>
    <row r="4066">
      <c r="B4066" s="22" t="inlineStr">
        <is>
          <t>Mezyad Medical Center</t>
        </is>
      </c>
    </row>
    <row r="4067">
      <c r="B4067" s="22" t="inlineStr">
        <is>
          <t>Community Health Solutions (Group)</t>
        </is>
      </c>
    </row>
    <row r="4068">
      <c r="B4068" s="22" t="inlineStr">
        <is>
          <t>Hafeet Pharmacy - Branch</t>
        </is>
      </c>
    </row>
    <row r="4069">
      <c r="B4069" s="22" t="inlineStr">
        <is>
          <t>Intercontinental Dental Clinic Llc</t>
        </is>
      </c>
    </row>
    <row r="4070">
      <c r="B4070" s="22" t="inlineStr">
        <is>
          <t>Duri Dental Clinic L.L.C.</t>
        </is>
      </c>
    </row>
    <row r="4071">
      <c r="B4071" s="22" t="inlineStr">
        <is>
          <t>Celeste Medical Center</t>
        </is>
      </c>
    </row>
    <row r="4072">
      <c r="B4072" s="22" t="inlineStr">
        <is>
          <t>MAKEEN PHARMACY</t>
        </is>
      </c>
    </row>
    <row r="4073">
      <c r="B4073" s="22" t="inlineStr">
        <is>
          <t>Al Farooq Medical &amp; Dental Centre Llc</t>
        </is>
      </c>
    </row>
    <row r="4074">
      <c r="B4074" s="22" t="inlineStr">
        <is>
          <t>Al Anis (Group)</t>
        </is>
      </c>
    </row>
    <row r="4075">
      <c r="B4075" s="22" t="inlineStr">
        <is>
          <t>Choufani Dental Polyclinic Sole Proprietorship Llc</t>
        </is>
      </c>
    </row>
    <row r="4076">
      <c r="B4076" s="22" t="inlineStr">
        <is>
          <t>Pride Medical Center (Group)</t>
        </is>
      </c>
    </row>
    <row r="4077">
      <c r="B4077" s="22" t="inlineStr">
        <is>
          <t>Grand Pharmacy LLC</t>
        </is>
      </c>
    </row>
    <row r="4078">
      <c r="B4078" s="22" t="inlineStr">
        <is>
          <t>Your Dental And Medical Centre Llc</t>
        </is>
      </c>
    </row>
    <row r="4079">
      <c r="B4079" s="22" t="inlineStr">
        <is>
          <t>Beverly Hills Medical Centre LLC (Group)</t>
        </is>
      </c>
    </row>
    <row r="4080">
      <c r="B4080" s="22" t="inlineStr">
        <is>
          <t>Oasis Pharmacy</t>
        </is>
      </c>
    </row>
    <row r="4081">
      <c r="B4081" s="22" t="inlineStr">
        <is>
          <t>NOVOMED CENTERS L.L.C - BRANCH OF ABU DHABI 3</t>
        </is>
      </c>
    </row>
    <row r="4082">
      <c r="B4082" s="22" t="inlineStr">
        <is>
          <t>Dr. Aljundi Orthodontic And Dental Center Llc</t>
        </is>
      </c>
    </row>
    <row r="4083">
      <c r="B4083" s="22" t="inlineStr">
        <is>
          <t>ABC Plus Pharmacy</t>
        </is>
      </c>
    </row>
    <row r="4084">
      <c r="B4084" s="22" t="inlineStr">
        <is>
          <t>Royal Smile Medical Centre</t>
        </is>
      </c>
    </row>
    <row r="4085">
      <c r="B4085" s="22" t="inlineStr">
        <is>
          <t>BAB AL TEB MEDICAL CENTRE L.L.C.</t>
        </is>
      </c>
    </row>
    <row r="4086">
      <c r="B4086" s="22" t="inlineStr">
        <is>
          <t>Swat (Group)</t>
        </is>
      </c>
    </row>
    <row r="4087">
      <c r="B4087" s="22" t="inlineStr">
        <is>
          <t>Shrouq Al Sabah Medical Center</t>
        </is>
      </c>
    </row>
    <row r="4088">
      <c r="B4088" s="22" t="inlineStr">
        <is>
          <t>Al Raaya Specialized Medical Center Sole Proprietorship Llc</t>
        </is>
      </c>
    </row>
    <row r="4089">
      <c r="B4089" s="22" t="inlineStr">
        <is>
          <t>Hakeem Dental Center Llc</t>
        </is>
      </c>
    </row>
    <row r="4090">
      <c r="B4090" s="22" t="inlineStr">
        <is>
          <t>Emirates Hospital (Group)</t>
        </is>
      </c>
    </row>
    <row r="4091">
      <c r="B4091" s="22" t="inlineStr">
        <is>
          <t>Hakeem Dental (Group)</t>
        </is>
      </c>
    </row>
    <row r="4092">
      <c r="B4092" s="22" t="inlineStr">
        <is>
          <t>DHIYARA MEDICAL CENTER</t>
        </is>
      </c>
    </row>
    <row r="4093">
      <c r="B4093" s="22" t="inlineStr">
        <is>
          <t>Ocean Dental &amp; Orthodontic Center</t>
        </is>
      </c>
    </row>
    <row r="4094">
      <c r="B4094" s="22" t="inlineStr">
        <is>
          <t>Al Ain Advanced (Group)</t>
        </is>
      </c>
    </row>
    <row r="4095">
      <c r="B4095" s="22" t="inlineStr">
        <is>
          <t>Vision Dental (Group)</t>
        </is>
      </c>
    </row>
    <row r="4096">
      <c r="B4096" s="22" t="inlineStr">
        <is>
          <t>Alhikma Pharmacy</t>
        </is>
      </c>
    </row>
    <row r="4097">
      <c r="B4097" s="22" t="inlineStr">
        <is>
          <t>Merhi Dental &amp; Orthodontic Center</t>
        </is>
      </c>
    </row>
    <row r="4098">
      <c r="B4098" s="22" t="inlineStr">
        <is>
          <t>Wazirustan Medical Centre Llc</t>
        </is>
      </c>
    </row>
    <row r="4099">
      <c r="B4099" s="22" t="inlineStr">
        <is>
          <t>Sarhad Pharmacy</t>
        </is>
      </c>
    </row>
    <row r="4100">
      <c r="B4100" s="22" t="inlineStr">
        <is>
          <t>Dr Ahmed Abu Sharia Medical (Group)</t>
        </is>
      </c>
    </row>
    <row r="4101">
      <c r="B4101" s="22" t="inlineStr">
        <is>
          <t>Al Senaeya (Group)</t>
        </is>
      </c>
    </row>
    <row r="4102">
      <c r="B4102" s="22" t="inlineStr">
        <is>
          <t>OWNAK HOME CARE - SOLE PROPRIETORSHIP L.L.C.</t>
        </is>
      </c>
    </row>
    <row r="4103">
      <c r="B4103" s="22" t="inlineStr">
        <is>
          <t>TRUDOC HEALTH CARE</t>
        </is>
      </c>
    </row>
    <row r="4104">
      <c r="B4104" s="22" t="inlineStr">
        <is>
          <t>METRO INTERNATIONAL MEDICAL CENTER L.L.C</t>
        </is>
      </c>
    </row>
    <row r="4105">
      <c r="B4105" s="22" t="inlineStr">
        <is>
          <t>LIRA PHARMACY</t>
        </is>
      </c>
    </row>
    <row r="4106">
      <c r="B4106" s="22" t="inlineStr">
        <is>
          <t>Nora Medical Poly Clinics</t>
        </is>
      </c>
    </row>
    <row r="4107">
      <c r="B4107" s="22" t="inlineStr">
        <is>
          <t>Excellency Ghayathi Poly Clinics</t>
        </is>
      </c>
    </row>
    <row r="4108">
      <c r="B4108" s="22" t="inlineStr">
        <is>
          <t>COLORS PHARMACY</t>
        </is>
      </c>
    </row>
    <row r="4109">
      <c r="B4109" s="22" t="inlineStr">
        <is>
          <t>Glamour Medical Center L.L.C</t>
        </is>
      </c>
    </row>
    <row r="4110">
      <c r="B4110" s="22" t="inlineStr">
        <is>
          <t>Al Raneen Medical Center Group</t>
        </is>
      </c>
    </row>
    <row r="4111">
      <c r="B4111" s="22" t="inlineStr">
        <is>
          <t>Al Mazroui Medical (Group)</t>
        </is>
      </c>
    </row>
    <row r="4112">
      <c r="B4112" s="22" t="inlineStr">
        <is>
          <t>Green Life Pharmacy</t>
        </is>
      </c>
    </row>
    <row r="4113">
      <c r="B4113" s="22" t="inlineStr">
        <is>
          <t>Al Tadawi Pharmacy (Abu Dhabi)</t>
        </is>
      </c>
    </row>
    <row r="4114">
      <c r="B4114" s="22" t="inlineStr">
        <is>
          <t>Al Waqar Medical Centre</t>
        </is>
      </c>
    </row>
    <row r="4115">
      <c r="B4115" s="22" t="inlineStr">
        <is>
          <t>DIVERSIFIED INTEGRATED MEDICAL CENTER L.L.C.</t>
        </is>
      </c>
    </row>
    <row r="4116">
      <c r="B4116" s="22" t="inlineStr">
        <is>
          <t>Al Ahali Medical Centre L.L.C</t>
        </is>
      </c>
    </row>
    <row r="4117">
      <c r="B4117" s="22" t="inlineStr">
        <is>
          <t>LEVARD MEDICAL CENTER-BRANCH</t>
        </is>
      </c>
    </row>
    <row r="4118">
      <c r="B4118" s="22" t="inlineStr">
        <is>
          <t>NEW DAR NOURI PHARMACY</t>
        </is>
      </c>
    </row>
    <row r="4119">
      <c r="B4119" s="22" t="inlineStr">
        <is>
          <t>ROYAL PRIVILEGE HOME HEALTH CARE</t>
        </is>
      </c>
    </row>
    <row r="4120">
      <c r="B4120" s="22" t="inlineStr">
        <is>
          <t>Lan Caster (Group)</t>
        </is>
      </c>
    </row>
    <row r="4121">
      <c r="B4121" s="22" t="inlineStr">
        <is>
          <t>Morani Orthodontic Center &amp; General Medical Llc</t>
        </is>
      </c>
    </row>
    <row r="4122">
      <c r="B4122" s="22" t="inlineStr">
        <is>
          <t>Al Srour Dental Clinic</t>
        </is>
      </c>
    </row>
    <row r="4123">
      <c r="B4123" s="22" t="inlineStr">
        <is>
          <t>FAMOUS MEDICAL CENTRE L.L.C</t>
        </is>
      </c>
    </row>
    <row r="4124">
      <c r="B4124" s="22" t="inlineStr">
        <is>
          <t>Pyramids Health Services (Group)</t>
        </is>
      </c>
    </row>
    <row r="4125">
      <c r="B4125" s="22" t="inlineStr">
        <is>
          <t>Cedars Medical Center Llc</t>
        </is>
      </c>
    </row>
    <row r="4126">
      <c r="B4126" s="22" t="inlineStr">
        <is>
          <t>GULF APOLLO PHARMACY LLC</t>
        </is>
      </c>
    </row>
    <row r="4127">
      <c r="B4127" s="22" t="inlineStr">
        <is>
          <t>ALMAS PHARMACY</t>
        </is>
      </c>
    </row>
    <row r="4128">
      <c r="B4128" s="22" t="inlineStr">
        <is>
          <t>Grace Pharmacy</t>
        </is>
      </c>
    </row>
    <row r="4129">
      <c r="B4129" s="22" t="inlineStr">
        <is>
          <t>Real Health Center</t>
        </is>
      </c>
    </row>
    <row r="4130">
      <c r="B4130" s="22" t="inlineStr">
        <is>
          <t>ROYAL HEALTH SPECIALIST ONE DAY SURGERY - SOLE PROPRIETORSHIP L.L.C</t>
        </is>
      </c>
    </row>
    <row r="4131">
      <c r="B4131" s="22" t="inlineStr">
        <is>
          <t>Smart Pharmacy - LLC</t>
        </is>
      </c>
    </row>
    <row r="4132">
      <c r="B4132" s="22" t="inlineStr">
        <is>
          <t>Emirates Heart (Group)</t>
        </is>
      </c>
    </row>
    <row r="4133">
      <c r="B4133" s="22" t="inlineStr">
        <is>
          <t>Al Daleel Dental Center - Sole Proprietorship L.L.C.</t>
        </is>
      </c>
    </row>
    <row r="4134">
      <c r="B4134" s="22" t="inlineStr">
        <is>
          <t>AL ATAA &amp; AL RAHMA HOME HEALTH CARE CENTER</t>
        </is>
      </c>
    </row>
    <row r="4135">
      <c r="B4135" s="22" t="inlineStr">
        <is>
          <t>International Pharmacy LLC</t>
        </is>
      </c>
    </row>
    <row r="4136">
      <c r="B4136" s="22" t="inlineStr">
        <is>
          <t>Newcastle Medical Center - Sole Proprietorship Llc</t>
        </is>
      </c>
    </row>
    <row r="4137">
      <c r="B4137" s="22" t="inlineStr">
        <is>
          <t>ROYAL CROWN DENTAL CENTER L.L.C</t>
        </is>
      </c>
    </row>
    <row r="4138">
      <c r="B4138" s="22" t="inlineStr">
        <is>
          <t>ALARYAM MEDICAL CLINICS CENTER</t>
        </is>
      </c>
    </row>
    <row r="4139">
      <c r="B4139" s="22" t="inlineStr">
        <is>
          <t>AL NAJAH PHARMACY</t>
        </is>
      </c>
    </row>
    <row r="4140">
      <c r="B4140" s="22" t="inlineStr">
        <is>
          <t>Summer Land Medical Centre Llc</t>
        </is>
      </c>
    </row>
    <row r="4141">
      <c r="B4141" s="22" t="inlineStr">
        <is>
          <t>Al Hythami Medical (Group)</t>
        </is>
      </c>
    </row>
    <row r="4142">
      <c r="B4142" s="22" t="inlineStr">
        <is>
          <t>Healing Touch Medical Center</t>
        </is>
      </c>
    </row>
    <row r="4143">
      <c r="B4143" s="22" t="inlineStr">
        <is>
          <t>DR ROCCO SPECIALIZED DENTAL &amp; DERMA CENTER L.L.C.</t>
        </is>
      </c>
    </row>
    <row r="4144">
      <c r="B4144" s="22" t="inlineStr">
        <is>
          <t>AL WAFA HOME HEALTH CARE L.L.C.</t>
        </is>
      </c>
    </row>
    <row r="4145">
      <c r="B4145" s="22" t="inlineStr">
        <is>
          <t>AL JOUD HEALTH CARE L.L.C.</t>
        </is>
      </c>
    </row>
    <row r="4146">
      <c r="B4146" s="22" t="inlineStr">
        <is>
          <t>APEX MEDICAL CENTRE</t>
        </is>
      </c>
    </row>
    <row r="4147">
      <c r="B4147" s="22" t="inlineStr">
        <is>
          <t>Al Khateeb Medical Center</t>
        </is>
      </c>
    </row>
    <row r="4148">
      <c r="B4148" s="22" t="inlineStr">
        <is>
          <t>71 Pharmacy Group</t>
        </is>
      </c>
    </row>
    <row r="4149">
      <c r="B4149" s="22" t="inlineStr">
        <is>
          <t>TAMARA POLYCLINICS L L C</t>
        </is>
      </c>
    </row>
    <row r="4150">
      <c r="B4150" s="22" t="inlineStr">
        <is>
          <t>Al Attar Dental Clinic</t>
        </is>
      </c>
    </row>
    <row r="4151">
      <c r="B4151" s="22" t="inlineStr">
        <is>
          <t>Canadian Care Medical Center Llc</t>
        </is>
      </c>
    </row>
    <row r="4152">
      <c r="B4152" s="22" t="inlineStr">
        <is>
          <t>ERGONOMIC CARE POD</t>
        </is>
      </c>
    </row>
    <row r="4153">
      <c r="B4153" s="22" t="inlineStr">
        <is>
          <t>Al Maali Medical Polyclinic</t>
        </is>
      </c>
    </row>
    <row r="4154">
      <c r="B4154" s="22" t="inlineStr">
        <is>
          <t>CADY ROYAL MEDICAL CENTER - BRANCH OF ABU DHABI 1</t>
        </is>
      </c>
    </row>
    <row r="4155">
      <c r="B4155" s="22" t="inlineStr">
        <is>
          <t>BAYTI HOME HEALTHCARE L.L.C</t>
        </is>
      </c>
    </row>
    <row r="4156">
      <c r="B4156" s="22" t="inlineStr">
        <is>
          <t>Faizan Pharmacy</t>
        </is>
      </c>
    </row>
    <row r="4157">
      <c r="B4157" s="22" t="inlineStr">
        <is>
          <t>7D Medical Center Llc Sole Proprietorship Llc</t>
        </is>
      </c>
    </row>
    <row r="4158">
      <c r="B4158" s="22" t="inlineStr">
        <is>
          <t>IBN SINA PHARMACY  - SOLE PROPRIETORSHIP L.L.C. - BRANCH 26</t>
        </is>
      </c>
    </row>
    <row r="4159">
      <c r="B4159" s="22" t="inlineStr">
        <is>
          <t>Al Malak Aesthetic Center Llc</t>
        </is>
      </c>
    </row>
    <row r="4160">
      <c r="B4160" s="22" t="inlineStr">
        <is>
          <t>AL NIYADAT HEALTHCARE CENTER PHARMACY</t>
        </is>
      </c>
    </row>
    <row r="4161">
      <c r="B4161" s="22" t="inlineStr">
        <is>
          <t>New Look (Group)</t>
        </is>
      </c>
    </row>
    <row r="4162">
      <c r="B4162" s="22" t="inlineStr">
        <is>
          <t>Al Ain Specialized Medical Center Llc</t>
        </is>
      </c>
    </row>
    <row r="4163">
      <c r="B4163" s="22" t="inlineStr">
        <is>
          <t>Spectrum Medical (Group)</t>
        </is>
      </c>
    </row>
    <row r="4164">
      <c r="B4164" s="22" t="inlineStr">
        <is>
          <t>Bella Medical Centre L.L.C.</t>
        </is>
      </c>
    </row>
    <row r="4165">
      <c r="B4165" s="22" t="inlineStr">
        <is>
          <t>PYRAMIDS HEALTH SERVICES  L.L.C.</t>
        </is>
      </c>
    </row>
    <row r="4166">
      <c r="B4166" s="22" t="inlineStr">
        <is>
          <t>Al Thiqa (Group)</t>
        </is>
      </c>
    </row>
    <row r="4167">
      <c r="B4167" s="22" t="inlineStr">
        <is>
          <t>Star Medical (Group)</t>
        </is>
      </c>
    </row>
    <row r="4168">
      <c r="B4168" s="22" t="inlineStr">
        <is>
          <t>Sky Line Pharmacy L.L.C.</t>
        </is>
      </c>
    </row>
    <row r="4169">
      <c r="B4169" s="22" t="inlineStr">
        <is>
          <t>Shamshad Pharmacy</t>
        </is>
      </c>
    </row>
    <row r="4170">
      <c r="B4170" s="22" t="inlineStr">
        <is>
          <t>Medicell Pharmacy L.L.C.</t>
        </is>
      </c>
    </row>
    <row r="4171">
      <c r="B4171" s="22" t="inlineStr">
        <is>
          <t>Mission Medical Center</t>
        </is>
      </c>
    </row>
    <row r="4172">
      <c r="B4172" s="22" t="inlineStr">
        <is>
          <t>Abdulla Pharmacy</t>
        </is>
      </c>
    </row>
    <row r="4173">
      <c r="B4173" s="22" t="inlineStr">
        <is>
          <t>Al Hassan Dental Center</t>
        </is>
      </c>
    </row>
    <row r="4174">
      <c r="B4174" s="22" t="inlineStr">
        <is>
          <t>Al Bedda Mdical Polyclinics - Sole Proprietorship Llc</t>
        </is>
      </c>
    </row>
    <row r="4175">
      <c r="B4175" s="22" t="inlineStr">
        <is>
          <t>Emirates Royal Orthodontic And Cosmetic Dentistry Center Llc</t>
        </is>
      </c>
    </row>
    <row r="4176">
      <c r="B4176" s="22" t="inlineStr">
        <is>
          <t>ATIQ UR REHMAN PHARMACY - SOLE PROPRIETORSHIP L.L.C.</t>
        </is>
      </c>
    </row>
    <row r="4177">
      <c r="B4177" s="22" t="inlineStr">
        <is>
          <t>STAR KEY HEARING GROUP</t>
        </is>
      </c>
    </row>
    <row r="4178">
      <c r="B4178" s="22" t="inlineStr">
        <is>
          <t>Al Hakeem Land Pharmacy</t>
        </is>
      </c>
    </row>
    <row r="4179">
      <c r="B4179" s="22" t="inlineStr">
        <is>
          <t>Liwa Medical Centre L.L.C.</t>
        </is>
      </c>
    </row>
    <row r="4180">
      <c r="B4180" s="22" t="inlineStr">
        <is>
          <t>Glitter Dringenden Clinics</t>
        </is>
      </c>
    </row>
    <row r="4181">
      <c r="B4181" s="22" t="inlineStr">
        <is>
          <t>Target Pharmacy</t>
        </is>
      </c>
    </row>
    <row r="4182">
      <c r="B4182" s="22" t="inlineStr">
        <is>
          <t>International Center For Dental Excellence Llc</t>
        </is>
      </c>
    </row>
    <row r="4183">
      <c r="B4183" s="22" t="inlineStr">
        <is>
          <t>Nova Dent Center</t>
        </is>
      </c>
    </row>
    <row r="4184">
      <c r="B4184" s="22" t="inlineStr">
        <is>
          <t>M 26 MEDICAL CENTER</t>
        </is>
      </c>
    </row>
    <row r="4185">
      <c r="B4185" s="22" t="inlineStr">
        <is>
          <t>Bab Al Teb (Group)</t>
        </is>
      </c>
    </row>
    <row r="4186">
      <c r="B4186" s="22" t="inlineStr">
        <is>
          <t>SPECTRA DENTAL CENTRE L.L.C.</t>
        </is>
      </c>
    </row>
    <row r="4187">
      <c r="B4187" s="22" t="inlineStr">
        <is>
          <t>Royal Specialized Dental Clinic</t>
        </is>
      </c>
    </row>
    <row r="4188">
      <c r="B4188" s="22" t="inlineStr">
        <is>
          <t>Right Choice Medical Center</t>
        </is>
      </c>
    </row>
    <row r="4189">
      <c r="B4189" s="22" t="inlineStr">
        <is>
          <t>ROYAL INTERNATIONAL MEDICAL CENTER - SOLE PROPRIETORSHIP L.L.C</t>
        </is>
      </c>
    </row>
    <row r="4190">
      <c r="B4190" s="22" t="inlineStr">
        <is>
          <t>Beauty Trick Medical Center Llc</t>
        </is>
      </c>
    </row>
    <row r="4191">
      <c r="B4191" s="22" t="inlineStr">
        <is>
          <t>Al Quds Specialized Dental Centre L.L.C.</t>
        </is>
      </c>
    </row>
    <row r="4192">
      <c r="B4192" s="22" t="inlineStr">
        <is>
          <t>OSCAR MEDICAL CENTER - SOLE PROPRIETOSHIP L.L.C</t>
        </is>
      </c>
    </row>
    <row r="4193">
      <c r="B4193" s="22" t="inlineStr">
        <is>
          <t>Atraf Rehabilitation Center</t>
        </is>
      </c>
    </row>
    <row r="4194">
      <c r="B4194" s="22" t="inlineStr">
        <is>
          <t>LOUVRE CLINIC MEDICAL CENTER</t>
        </is>
      </c>
    </row>
    <row r="4195">
      <c r="B4195" s="22" t="inlineStr">
        <is>
          <t>Al Dewan Pharmacy (group)</t>
        </is>
      </c>
    </row>
    <row r="4196">
      <c r="B4196" s="22" t="inlineStr">
        <is>
          <t>All Care Medical Center Llc</t>
        </is>
      </c>
    </row>
    <row r="4197">
      <c r="B4197" s="22" t="inlineStr">
        <is>
          <t>KALLOOR DENTAL CLINIC</t>
        </is>
      </c>
    </row>
    <row r="4198">
      <c r="B4198" s="22" t="inlineStr">
        <is>
          <t>Emirates Medical Services (Group)</t>
        </is>
      </c>
    </row>
    <row r="4199">
      <c r="B4199" s="22" t="inlineStr">
        <is>
          <t>Dermazone Laser And Cosmetic Centre</t>
        </is>
      </c>
    </row>
    <row r="4200">
      <c r="B4200" s="22" t="inlineStr">
        <is>
          <t>Khyber (Group)</t>
        </is>
      </c>
    </row>
    <row r="4201">
      <c r="B4201" s="22" t="inlineStr">
        <is>
          <t>Bangladesh Pharmacy LLC</t>
        </is>
      </c>
    </row>
    <row r="4202">
      <c r="B4202" s="22" t="inlineStr">
        <is>
          <t>Khyber Medical Centre</t>
        </is>
      </c>
    </row>
    <row r="4203">
      <c r="B4203" s="22" t="inlineStr">
        <is>
          <t>Al Riyadh Medical (Group)</t>
        </is>
      </c>
    </row>
    <row r="4204">
      <c r="B4204" s="22" t="inlineStr">
        <is>
          <t>Al Ghazali (Group)</t>
        </is>
      </c>
    </row>
    <row r="4205">
      <c r="B4205" s="22" t="inlineStr">
        <is>
          <t>Al Andalus Dental Clinic</t>
        </is>
      </c>
    </row>
    <row r="4206">
      <c r="B4206" s="22" t="inlineStr">
        <is>
          <t>Macani Medical Center Llc</t>
        </is>
      </c>
    </row>
    <row r="4207">
      <c r="B4207" s="22" t="inlineStr">
        <is>
          <t>BAGHDAD PHARMACY L.L.C</t>
        </is>
      </c>
    </row>
    <row r="4208">
      <c r="B4208" s="22" t="inlineStr">
        <is>
          <t>Health Mart Pharmacies (Group)</t>
        </is>
      </c>
    </row>
    <row r="4209">
      <c r="B4209" s="22" t="inlineStr">
        <is>
          <t>Master Dental And Aesthetic Centre Llc</t>
        </is>
      </c>
    </row>
    <row r="4210">
      <c r="B4210" s="22" t="inlineStr">
        <is>
          <t>DAR AL MOUASAH DIAGNOSTIC CENTRE</t>
        </is>
      </c>
    </row>
    <row r="4211">
      <c r="B4211" s="22" t="inlineStr">
        <is>
          <t>Acacia Medical Center</t>
        </is>
      </c>
    </row>
    <row r="4212">
      <c r="B4212" s="22" t="inlineStr">
        <is>
          <t>Summer Land (Group)</t>
        </is>
      </c>
    </row>
    <row r="4213">
      <c r="B4213" s="22" t="inlineStr">
        <is>
          <t>Eastmans Dental Clinic Llc</t>
        </is>
      </c>
    </row>
    <row r="4214">
      <c r="B4214" s="22" t="inlineStr">
        <is>
          <t>Al Ain Oasis Dental Clinic Llc</t>
        </is>
      </c>
    </row>
    <row r="4215">
      <c r="B4215" s="22" t="inlineStr">
        <is>
          <t>Sun Medical (Group)</t>
        </is>
      </c>
    </row>
    <row r="4216">
      <c r="B4216" s="22" t="inlineStr">
        <is>
          <t>Al Safwa Medical Center L.L.C.</t>
        </is>
      </c>
    </row>
    <row r="4217">
      <c r="B4217" s="22" t="inlineStr">
        <is>
          <t>Al Rayyan Pharmacy</t>
        </is>
      </c>
    </row>
    <row r="4218">
      <c r="B4218" s="22" t="inlineStr">
        <is>
          <t>SEVEN STAR HOME HEALTH CARE  L.L.C.</t>
        </is>
      </c>
    </row>
    <row r="4219">
      <c r="B4219" s="22" t="inlineStr">
        <is>
          <t>Classic Care Medical Center</t>
        </is>
      </c>
    </row>
    <row r="4220">
      <c r="B4220" s="22" t="inlineStr">
        <is>
          <t>Perfect Smile Dental Centre Llc</t>
        </is>
      </c>
    </row>
    <row r="4221">
      <c r="B4221" s="22" t="inlineStr">
        <is>
          <t>FIRST GLOBAL CLINIC - SOLE PROPRIETORSHIP L.L.C.</t>
        </is>
      </c>
    </row>
    <row r="4222">
      <c r="B4222" s="22" t="inlineStr">
        <is>
          <t>Retaj Dental Clinic - Sole Proprietorship L.L.C.</t>
        </is>
      </c>
    </row>
    <row r="4223">
      <c r="B4223" s="22" t="inlineStr">
        <is>
          <t>Gulf Pearl Dental Center L.L.C.</t>
        </is>
      </c>
    </row>
    <row r="4224">
      <c r="B4224" s="22" t="inlineStr">
        <is>
          <t>EMIRATES CONFIDENTY MEDICAL CENTER-SOLE PROPRIETORSHIP L.L.C</t>
        </is>
      </c>
    </row>
    <row r="4225">
      <c r="B4225" s="22" t="inlineStr">
        <is>
          <t>Wahat Al Aman Home Health Care LLC</t>
        </is>
      </c>
    </row>
    <row r="4226">
      <c r="B4226" s="22" t="inlineStr">
        <is>
          <t>Smile Factory Dental (Group)</t>
        </is>
      </c>
    </row>
    <row r="4227">
      <c r="B4227" s="22" t="inlineStr">
        <is>
          <t>HIGH LIFE MEDICAL CENTER</t>
        </is>
      </c>
    </row>
    <row r="4228">
      <c r="B4228" s="22" t="inlineStr">
        <is>
          <t>AL AMAL HEALTH CARE SERVICES</t>
        </is>
      </c>
    </row>
    <row r="4229">
      <c r="B4229" s="22" t="inlineStr">
        <is>
          <t>Al Noor Medical Center Wll</t>
        </is>
      </c>
    </row>
    <row r="4230">
      <c r="B4230" s="22" t="inlineStr">
        <is>
          <t>Bedaya Rehabilitation And Training</t>
        </is>
      </c>
    </row>
    <row r="4231">
      <c r="B4231" s="22" t="inlineStr">
        <is>
          <t>MILAN CLINIC MEDICAL CENTER - SOLE PROPRIETORSHIP L.L.C.</t>
        </is>
      </c>
    </row>
    <row r="4232">
      <c r="B4232" s="22" t="inlineStr">
        <is>
          <t>BAB AL MADINA MEDICAL CENTER L.L.C.</t>
        </is>
      </c>
    </row>
    <row r="4233">
      <c r="B4233" s="22" t="inlineStr">
        <is>
          <t>Elitecare</t>
        </is>
      </c>
    </row>
    <row r="4234">
      <c r="B4234" s="22" t="inlineStr">
        <is>
          <t>M37 PHARMACY L.L.C</t>
        </is>
      </c>
    </row>
    <row r="4235">
      <c r="B4235" s="22" t="inlineStr">
        <is>
          <t>GAVA DOWNTOWN HEALTHCARE CENTRE - L.L.C - O.P.C</t>
        </is>
      </c>
    </row>
    <row r="4236">
      <c r="B4236" s="22" t="inlineStr">
        <is>
          <t>Dr. Chawky Haddad Dental Clinic</t>
        </is>
      </c>
    </row>
    <row r="4237">
      <c r="B4237" s="22" t="inlineStr">
        <is>
          <t>LA Roche (Group)</t>
        </is>
      </c>
    </row>
    <row r="4238">
      <c r="B4238" s="22" t="inlineStr">
        <is>
          <t>Palmira Specialized Medical Centre</t>
        </is>
      </c>
    </row>
    <row r="4239">
      <c r="B4239" s="22" t="inlineStr">
        <is>
          <t>Brilliant Smile Dental Clinic</t>
        </is>
      </c>
    </row>
    <row r="4240">
      <c r="B4240" s="22" t="inlineStr">
        <is>
          <t>Providence International Medical &amp; Cosmetic Center Llc</t>
        </is>
      </c>
    </row>
    <row r="4241">
      <c r="B4241" s="22" t="inlineStr">
        <is>
          <t>Al Zhoor (Group)</t>
        </is>
      </c>
    </row>
    <row r="4242">
      <c r="B4242" s="22" t="inlineStr">
        <is>
          <t>Emirates Dermatology And Cosmetology Center Sole Proprietorship Llc</t>
        </is>
      </c>
    </row>
    <row r="4243">
      <c r="B4243" s="22" t="inlineStr">
        <is>
          <t>SHAMS ALWAHA MEDICAL CENTRE - SOLE PROPRIETORSHIP L.L.C</t>
        </is>
      </c>
    </row>
    <row r="4244">
      <c r="B4244" s="22" t="inlineStr">
        <is>
          <t>Creative Dental (Group)</t>
        </is>
      </c>
    </row>
    <row r="4245">
      <c r="B4245" s="22" t="inlineStr">
        <is>
          <t>New Al Ain Medical Clinics Center Llc</t>
        </is>
      </c>
    </row>
    <row r="4246">
      <c r="B4246" s="22" t="inlineStr">
        <is>
          <t>Excellent (Group)</t>
        </is>
      </c>
    </row>
    <row r="4247">
      <c r="B4247" s="22" t="inlineStr">
        <is>
          <t>BLUE OCEAN MEDICAL CENTER</t>
        </is>
      </c>
    </row>
    <row r="4248">
      <c r="B4248" s="22" t="inlineStr">
        <is>
          <t>Inspire Center For Kids Rehabilitation</t>
        </is>
      </c>
    </row>
    <row r="4249">
      <c r="B4249" s="22" t="inlineStr">
        <is>
          <t>Bright And Shine Pharmacy LLC</t>
        </is>
      </c>
    </row>
    <row r="4250">
      <c r="B4250" s="22" t="inlineStr">
        <is>
          <t>New Dental Center Llc</t>
        </is>
      </c>
    </row>
    <row r="4251">
      <c r="B4251" s="22" t="inlineStr">
        <is>
          <t>UNIQUE PRIMARY HEALTH CARE CENTRE LLC</t>
        </is>
      </c>
    </row>
    <row r="4252">
      <c r="B4252" s="22" t="inlineStr">
        <is>
          <t>OXYGEN MEDICAL CENTER MEDICAL COMPLEX - L.L.C</t>
        </is>
      </c>
    </row>
    <row r="4253">
      <c r="B4253" s="22" t="inlineStr">
        <is>
          <t>Al Cady Dental Centre Llc</t>
        </is>
      </c>
    </row>
    <row r="4254">
      <c r="B4254" s="22" t="inlineStr">
        <is>
          <t>Royal Star Dental Clinic - Sole Proprietorship Llc</t>
        </is>
      </c>
    </row>
    <row r="4255">
      <c r="B4255" s="22" t="inlineStr">
        <is>
          <t>HHD HOME HEALTH CARE LLC</t>
        </is>
      </c>
    </row>
    <row r="4256">
      <c r="B4256" s="22" t="inlineStr">
        <is>
          <t>ALLPOINT HEALTHCARE CENTER - SOLE PROPRIETORSHIP L.L.C</t>
        </is>
      </c>
    </row>
    <row r="4257">
      <c r="B4257" s="22" t="inlineStr">
        <is>
          <t>Al Raqi Medical Centre</t>
        </is>
      </c>
    </row>
    <row r="4258">
      <c r="B4258" s="22" t="inlineStr">
        <is>
          <t>Nabaa Alafya Pharmacy Sole Proprietorship LLC</t>
        </is>
      </c>
    </row>
    <row r="4259">
      <c r="B4259" s="22" t="inlineStr">
        <is>
          <t>PIONEER MEDICAL SERVICES L.L.C</t>
        </is>
      </c>
    </row>
    <row r="4260">
      <c r="B4260" s="22" t="inlineStr">
        <is>
          <t>Barada Medical (Group)</t>
        </is>
      </c>
    </row>
    <row r="4261">
      <c r="B4261" s="22" t="inlineStr">
        <is>
          <t>DR.SUAD LUTFI SPECIALIST CLINIC LLC</t>
        </is>
      </c>
    </row>
    <row r="4262">
      <c r="B4262" s="22" t="inlineStr">
        <is>
          <t>Al Rasasi Pharmacy</t>
        </is>
      </c>
    </row>
    <row r="4263">
      <c r="B4263" s="22" t="inlineStr">
        <is>
          <t>DYNAMIC CENTER FOR PROSTHETIC DEVICES</t>
        </is>
      </c>
    </row>
    <row r="4264">
      <c r="B4264" s="22" t="inlineStr">
        <is>
          <t>BEAUTY TRICK ONE DAY CARE SURGERY CENTRE L.L.C.</t>
        </is>
      </c>
    </row>
    <row r="4265">
      <c r="B4265" s="22" t="inlineStr">
        <is>
          <t>AL AHLIA PHARMACY</t>
        </is>
      </c>
    </row>
    <row r="4266">
      <c r="B4266" s="22" t="inlineStr">
        <is>
          <t>Medline (Group)</t>
        </is>
      </c>
    </row>
    <row r="4267">
      <c r="B4267" s="22" t="inlineStr">
        <is>
          <t>BANGKOK HOME HEALTH CARE SERVICES L.L.C</t>
        </is>
      </c>
    </row>
    <row r="4268">
      <c r="B4268" s="22" t="inlineStr">
        <is>
          <t>Royal Dental Center Llc</t>
        </is>
      </c>
    </row>
    <row r="4269">
      <c r="B4269" s="22" t="inlineStr">
        <is>
          <t>ALSHROOQ HEALTH SERVICES CENTER - SOLE PROPRIETORSHIP L.L.C.</t>
        </is>
      </c>
    </row>
    <row r="4270">
      <c r="B4270" s="22" t="inlineStr">
        <is>
          <t>Boulevard Medical Centre</t>
        </is>
      </c>
    </row>
    <row r="4271">
      <c r="B4271" s="22" t="inlineStr">
        <is>
          <t>Smile Line Dental Center L.L.C (Group)</t>
        </is>
      </c>
    </row>
    <row r="4272">
      <c r="B4272" s="22" t="inlineStr">
        <is>
          <t>Swedish Medical Center - W L L</t>
        </is>
      </c>
    </row>
    <row r="4273">
      <c r="B4273" s="22" t="inlineStr">
        <is>
          <t>Emirates Dental Clinic Llc</t>
        </is>
      </c>
    </row>
    <row r="4274">
      <c r="B4274" s="22" t="inlineStr">
        <is>
          <t>Hamdan (Group)</t>
        </is>
      </c>
    </row>
    <row r="4275">
      <c r="B4275" s="22" t="inlineStr">
        <is>
          <t>Daar Al Misbah Pharmacy</t>
        </is>
      </c>
    </row>
    <row r="4276">
      <c r="B4276" s="22" t="inlineStr">
        <is>
          <t>Al Asaala Pharmacy LLC</t>
        </is>
      </c>
    </row>
    <row r="4277">
      <c r="B4277" s="22" t="inlineStr">
        <is>
          <t>Dr. Munir Silwadi Dental Centre</t>
        </is>
      </c>
    </row>
    <row r="4278">
      <c r="B4278" s="22" t="inlineStr">
        <is>
          <t>MEDLINE MEDICAL CENTRE L.L.C</t>
        </is>
      </c>
    </row>
    <row r="4279">
      <c r="B4279" s="22" t="inlineStr">
        <is>
          <t>Al Madina (Group)</t>
        </is>
      </c>
    </row>
    <row r="4280">
      <c r="B4280" s="22" t="inlineStr">
        <is>
          <t>Al Insaaf (Group)</t>
        </is>
      </c>
    </row>
    <row r="4281">
      <c r="B4281" s="22" t="inlineStr">
        <is>
          <t>BAWABAT ALSHIFA PHARMACY</t>
        </is>
      </c>
    </row>
    <row r="4282">
      <c r="B4282" s="22" t="inlineStr">
        <is>
          <t>Moon Light Medical Center (Group)</t>
        </is>
      </c>
    </row>
    <row r="4283">
      <c r="B4283" s="22" t="inlineStr">
        <is>
          <t>Next Health Pharmacy L.L.C.</t>
        </is>
      </c>
    </row>
    <row r="4284">
      <c r="B4284" s="22" t="inlineStr">
        <is>
          <t>GLOBAL HOME HEALTH CARE LLC</t>
        </is>
      </c>
    </row>
    <row r="4285">
      <c r="B4285" s="22" t="inlineStr">
        <is>
          <t>Al Khazna Health Pharmacy</t>
        </is>
      </c>
    </row>
    <row r="4286">
      <c r="B4286" s="22" t="inlineStr">
        <is>
          <t>Carewell Clinics - Sole Proprietorship L.L.C.</t>
        </is>
      </c>
    </row>
    <row r="4287">
      <c r="B4287" s="22" t="inlineStr">
        <is>
          <t>Dr. Sabah Al Sakban Medical Clinic</t>
        </is>
      </c>
    </row>
    <row r="4288">
      <c r="B4288" s="22" t="inlineStr">
        <is>
          <t>Al Sabah Dental Polyclinic</t>
        </is>
      </c>
    </row>
    <row r="4289">
      <c r="B4289" s="22" t="inlineStr">
        <is>
          <t>Al Reyada Medical Centre Llc</t>
        </is>
      </c>
    </row>
    <row r="4290">
      <c r="B4290" s="22" t="inlineStr">
        <is>
          <t>Delma Medical Center</t>
        </is>
      </c>
    </row>
    <row r="4291">
      <c r="B4291" s="22" t="inlineStr">
        <is>
          <t>DMETCO HOME HEALTH</t>
        </is>
      </c>
    </row>
    <row r="4292">
      <c r="B4292" s="22" t="inlineStr">
        <is>
          <t>Al Muzn Pharmacy</t>
        </is>
      </c>
    </row>
    <row r="4293">
      <c r="B4293" s="22" t="inlineStr">
        <is>
          <t>Total Care Medical Center Llc</t>
        </is>
      </c>
    </row>
    <row r="4294">
      <c r="B4294" s="22" t="inlineStr">
        <is>
          <t>American Excellence Medical And Dental Center</t>
        </is>
      </c>
    </row>
    <row r="4295">
      <c r="B4295" s="22" t="inlineStr">
        <is>
          <t>Max Pharmacies (Group)</t>
        </is>
      </c>
    </row>
    <row r="4296">
      <c r="B4296" s="22" t="inlineStr">
        <is>
          <t>360 dental and orthodontic center L.L.C</t>
        </is>
      </c>
    </row>
    <row r="4297">
      <c r="B4297" s="22" t="inlineStr">
        <is>
          <t>Marina Pharmacy Alcorniche LLC</t>
        </is>
      </c>
    </row>
    <row r="4298">
      <c r="B4298" s="22" t="inlineStr">
        <is>
          <t xml:space="preserve">AL BAHRI DENTAL &amp; ORTHODONTICS CENTRE LLC - BRANCH </t>
        </is>
      </c>
    </row>
    <row r="4299">
      <c r="B4299" s="22" t="inlineStr">
        <is>
          <t>Al Bawadi Medical Centre</t>
        </is>
      </c>
    </row>
    <row r="4300">
      <c r="B4300" s="22" t="inlineStr">
        <is>
          <t>Shells Dental Clinic</t>
        </is>
      </c>
    </row>
    <row r="4301">
      <c r="B4301" s="22" t="inlineStr">
        <is>
          <t>DOCTOR KIBAR CLINIC - L.L.C - O.P.C</t>
        </is>
      </c>
    </row>
    <row r="4302">
      <c r="B4302" s="22" t="inlineStr">
        <is>
          <t>Gentle Dental And Medical Care Centre</t>
        </is>
      </c>
    </row>
    <row r="4303">
      <c r="B4303" s="22" t="inlineStr">
        <is>
          <t>Thomas Dental Centre</t>
        </is>
      </c>
    </row>
    <row r="4304">
      <c r="B4304" s="22" t="inlineStr">
        <is>
          <t>HEALTHY OUTFIT MEDICAL CENTER- SOLE PROPRIETORSHIP L.L.C.</t>
        </is>
      </c>
    </row>
    <row r="4305">
      <c r="B4305" s="22" t="inlineStr">
        <is>
          <t>Rival Rehabilitation Center</t>
        </is>
      </c>
    </row>
    <row r="4306">
      <c r="B4306" s="22" t="inlineStr">
        <is>
          <t>Emirates Dermatology &amp; Cosmetology Center Owned By Dr. Mouza Al Suwaidi-Sole Proprietorship LLC (Group)</t>
        </is>
      </c>
    </row>
    <row r="4307">
      <c r="B4307" s="22" t="inlineStr">
        <is>
          <t>CARE AND CURE HOME HEALTH CARE - SOLE PROPRIETORSHIP L.L.C.</t>
        </is>
      </c>
    </row>
    <row r="4308">
      <c r="B4308" s="22" t="inlineStr">
        <is>
          <t>Healthgo Medical Center LLC</t>
        </is>
      </c>
    </row>
    <row r="4309">
      <c r="B4309" s="22" t="inlineStr">
        <is>
          <t>Oaiss Braces (Group)</t>
        </is>
      </c>
    </row>
    <row r="4310">
      <c r="B4310" s="22" t="inlineStr">
        <is>
          <t>Green City Pharmacy</t>
        </is>
      </c>
    </row>
    <row r="4311">
      <c r="B4311" s="22" t="inlineStr">
        <is>
          <t>Oxygen Rehabilitation Center (Group)</t>
        </is>
      </c>
    </row>
    <row r="4312">
      <c r="B4312" s="22" t="inlineStr">
        <is>
          <t>LEVARD MEDICAL CENTER BRANCH</t>
        </is>
      </c>
    </row>
    <row r="4313">
      <c r="B4313" s="22" t="inlineStr">
        <is>
          <t>Al Rahma Medical Group - Sole Proprietorship L.L.C.</t>
        </is>
      </c>
    </row>
    <row r="4314">
      <c r="B4314" s="22" t="inlineStr">
        <is>
          <t>MEDI CURE PHARMACY L.L.C</t>
        </is>
      </c>
    </row>
    <row r="4315">
      <c r="B4315" s="22" t="inlineStr">
        <is>
          <t>Noor Kashmir Medical (Group)</t>
        </is>
      </c>
    </row>
    <row r="4316">
      <c r="B4316" s="22" t="inlineStr">
        <is>
          <t>DREAM PHARMACY L L C</t>
        </is>
      </c>
    </row>
    <row r="4317">
      <c r="B4317" s="22" t="inlineStr">
        <is>
          <t>LA FAMI MEDICAL COMPLEX</t>
        </is>
      </c>
    </row>
    <row r="4318">
      <c r="B4318" s="22" t="inlineStr">
        <is>
          <t>Alafia Ghyathi (Group)</t>
        </is>
      </c>
    </row>
    <row r="4319">
      <c r="B4319" s="22" t="inlineStr">
        <is>
          <t>LUMIERE SKIN CLINIC L.L.C. - BRANCH YAS MALL</t>
        </is>
      </c>
    </row>
    <row r="4320">
      <c r="B4320" s="22" t="inlineStr">
        <is>
          <t>TABRIZI EXPRESS DENTISTRY L.L.C.</t>
        </is>
      </c>
    </row>
    <row r="4321">
      <c r="B4321" s="22" t="inlineStr">
        <is>
          <t>KHALID BIN AL WALEED PHARMACY</t>
        </is>
      </c>
    </row>
    <row r="4322">
      <c r="B4322" s="22" t="inlineStr">
        <is>
          <t>Bassem Pharmacy LLC</t>
        </is>
      </c>
    </row>
    <row r="4323">
      <c r="B4323" s="22" t="inlineStr">
        <is>
          <t>DR. KHALED ALNUAIMI SPECIALIZED CLINIC</t>
        </is>
      </c>
    </row>
    <row r="4324">
      <c r="B4324" s="22" t="inlineStr">
        <is>
          <t>FIRSTDENT DENTAL CENTER - SOLE PROPRIETORSHIP L.L.C.</t>
        </is>
      </c>
    </row>
    <row r="4325">
      <c r="B4325" s="22" t="inlineStr">
        <is>
          <t>Alahliya Alain Pharmacy</t>
        </is>
      </c>
    </row>
    <row r="4326">
      <c r="B4326" s="22" t="inlineStr">
        <is>
          <t>PERFECT BALANCE REHABILITATION CENTRE L L C</t>
        </is>
      </c>
    </row>
    <row r="4327">
      <c r="B4327" s="22" t="inlineStr">
        <is>
          <t>SMILE RITE DENTAL CARE L.L.C. - BRANCH</t>
        </is>
      </c>
    </row>
    <row r="4328">
      <c r="B4328" s="22" t="inlineStr">
        <is>
          <t>LUMIERE SKIN CLINIC L.L.C. - BRANCH DEERFIELDS MALL</t>
        </is>
      </c>
    </row>
    <row r="4329">
      <c r="B4329" s="22" t="inlineStr">
        <is>
          <t>Relax Health International Medical Center</t>
        </is>
      </c>
    </row>
    <row r="4330">
      <c r="B4330" s="22" t="inlineStr">
        <is>
          <t>Amana Specialized Medical Clinic</t>
        </is>
      </c>
    </row>
    <row r="4331">
      <c r="B4331" s="22" t="inlineStr">
        <is>
          <t>Daar Al Misbah Medical Center Llc</t>
        </is>
      </c>
    </row>
    <row r="4332">
      <c r="B4332" s="22" t="inlineStr">
        <is>
          <t>BLACK FALCON PHARMACY</t>
        </is>
      </c>
    </row>
    <row r="4333">
      <c r="B4333" s="22" t="inlineStr">
        <is>
          <t>SAHARA PHARMACY LLC Managed by LLH HOSPITAL AL MUSAFFAH L.L.C</t>
        </is>
      </c>
    </row>
    <row r="4334">
      <c r="B4334" s="22" t="inlineStr">
        <is>
          <t>Sahara Medical (Group)</t>
        </is>
      </c>
    </row>
    <row r="4335">
      <c r="B4335" s="22" t="inlineStr">
        <is>
          <t>Westminster Medical Center</t>
        </is>
      </c>
    </row>
    <row r="4336">
      <c r="B4336" s="22" t="inlineStr">
        <is>
          <t>AL KHAZNA HEALTH MEDICAL CENTER</t>
        </is>
      </c>
    </row>
    <row r="4337">
      <c r="B4337" s="22" t="inlineStr">
        <is>
          <t>Standard Pharmacy</t>
        </is>
      </c>
    </row>
    <row r="4338">
      <c r="B4338" s="22" t="inlineStr">
        <is>
          <t>Arizona Medical Dental Centre Llc</t>
        </is>
      </c>
    </row>
    <row r="4339">
      <c r="B4339" s="22" t="inlineStr">
        <is>
          <t>ULTRA HEALTH CARE</t>
        </is>
      </c>
    </row>
    <row r="4340">
      <c r="B4340" s="22" t="inlineStr">
        <is>
          <t>Olive Pharmacy</t>
        </is>
      </c>
    </row>
    <row r="4341">
      <c r="B4341" s="22" t="inlineStr">
        <is>
          <t>Dr. Mona Al Jaziri Dental Clinic</t>
        </is>
      </c>
    </row>
    <row r="4342">
      <c r="B4342" s="22" t="inlineStr">
        <is>
          <t>Al Manal Dental Center</t>
        </is>
      </c>
    </row>
    <row r="4343">
      <c r="B4343" s="22" t="inlineStr">
        <is>
          <t>Beauty Trick Pharmacy LLC</t>
        </is>
      </c>
    </row>
    <row r="4344">
      <c r="B4344" s="22" t="inlineStr">
        <is>
          <t>PHARMACY BLUE MOON</t>
        </is>
      </c>
    </row>
    <row r="4345">
      <c r="B4345" s="22" t="inlineStr">
        <is>
          <t>Hafit Medical Complex</t>
        </is>
      </c>
    </row>
    <row r="4346">
      <c r="B4346" s="22" t="inlineStr">
        <is>
          <t>Al Saqi Medical Polyclinic Llc</t>
        </is>
      </c>
    </row>
    <row r="4347">
      <c r="B4347" s="22" t="inlineStr">
        <is>
          <t>Prime Care Medical Centre Llc</t>
        </is>
      </c>
    </row>
    <row r="4348">
      <c r="B4348" s="22" t="inlineStr">
        <is>
          <t>Modern Farah Pharmacy LLC</t>
        </is>
      </c>
    </row>
    <row r="4349">
      <c r="B4349" s="22" t="inlineStr">
        <is>
          <t>Al Shaab Pharmacy WLL</t>
        </is>
      </c>
    </row>
    <row r="4350">
      <c r="B4350" s="22" t="inlineStr">
        <is>
          <t>White Lily Medical Centre</t>
        </is>
      </c>
    </row>
    <row r="4351">
      <c r="B4351" s="22" t="inlineStr">
        <is>
          <t>Beautiful Mind Medical Center</t>
        </is>
      </c>
    </row>
    <row r="4352">
      <c r="B4352" s="22" t="inlineStr">
        <is>
          <t>Zenith Dental Clinic</t>
        </is>
      </c>
    </row>
    <row r="4353">
      <c r="B4353" s="22" t="inlineStr">
        <is>
          <t>AL HANOUF PHARMACY L.L.C L.L.C.</t>
        </is>
      </c>
    </row>
    <row r="4354">
      <c r="B4354" s="22" t="inlineStr">
        <is>
          <t>SENIOR FOR HOME CARE CENTER</t>
        </is>
      </c>
    </row>
    <row r="4355">
      <c r="B4355" s="22" t="inlineStr">
        <is>
          <t>Roma Paediatric Clinic Llc</t>
        </is>
      </c>
    </row>
    <row r="4356">
      <c r="B4356" s="22" t="inlineStr">
        <is>
          <t>ROYAL HEALTH SPECIALIST ONE DAY SERGERY PHARMACY - SOLE PROPRIETORSHIP L.L.C.</t>
        </is>
      </c>
    </row>
    <row r="4357">
      <c r="B4357" s="22" t="inlineStr">
        <is>
          <t>Harmony (Group)</t>
        </is>
      </c>
    </row>
    <row r="4358">
      <c r="B4358" s="22" t="inlineStr">
        <is>
          <t>Dot Com Pharmacy</t>
        </is>
      </c>
    </row>
    <row r="4359">
      <c r="B4359" s="22" t="inlineStr">
        <is>
          <t>AYESHA PHARMACY - SOLE PROPRIETORSHIP L.L.C.</t>
        </is>
      </c>
    </row>
    <row r="4360">
      <c r="B4360" s="22" t="inlineStr">
        <is>
          <t>Al Muzaina (Group)</t>
        </is>
      </c>
    </row>
    <row r="4361">
      <c r="B4361" s="22" t="inlineStr">
        <is>
          <t>Ozone Pharmacy</t>
        </is>
      </c>
    </row>
    <row r="4362">
      <c r="B4362" s="22" t="inlineStr">
        <is>
          <t>SURE MEDI PHARMACY - SOLE PROPRIETORSHIP L.L.C</t>
        </is>
      </c>
    </row>
    <row r="4363">
      <c r="B4363" s="22" t="inlineStr">
        <is>
          <t>Grand Health Pharmacy - Sole Proprietorship L.L.C.</t>
        </is>
      </c>
    </row>
    <row r="4364">
      <c r="B4364" s="22" t="inlineStr">
        <is>
          <t>Beaulink Medical Center</t>
        </is>
      </c>
    </row>
    <row r="4365">
      <c r="B4365" s="22" t="inlineStr">
        <is>
          <t>Medical Laser (Group)</t>
        </is>
      </c>
    </row>
    <row r="4366">
      <c r="B4366" s="22" t="inlineStr">
        <is>
          <t>RIVOLI EYZONE BRANCH OF EXCEL INTERPRISS LLC -BRANCH OF ABU DHABI</t>
        </is>
      </c>
    </row>
    <row r="4367">
      <c r="B4367" s="22" t="inlineStr">
        <is>
          <t>MUSSAFAH HEALTH CENTER</t>
        </is>
      </c>
    </row>
    <row r="4368">
      <c r="B4368" s="22" t="inlineStr">
        <is>
          <t>IDEAL CLINICAL LABORATORIES</t>
        </is>
      </c>
    </row>
    <row r="4369">
      <c r="B4369" s="22" t="inlineStr">
        <is>
          <t>NEDHAL PHARMACY-BRANCH</t>
        </is>
      </c>
    </row>
    <row r="4370">
      <c r="B4370" s="22" t="inlineStr">
        <is>
          <t>VITAMIN MEDICAL CENTER - SOLE PROPRIETORSHIP L.L.C</t>
        </is>
      </c>
    </row>
    <row r="4371">
      <c r="B4371" s="22" t="inlineStr">
        <is>
          <t>LUMIERE SKIN CLINIC L.L.C. - BRANCH BAWABAT ALSHARQ MALL</t>
        </is>
      </c>
    </row>
    <row r="4372">
      <c r="B4372" s="22" t="inlineStr">
        <is>
          <t>Medlux Pharmacy LLC</t>
        </is>
      </c>
    </row>
    <row r="4373">
      <c r="B4373" s="22" t="inlineStr">
        <is>
          <t>BASEL MEDICAL CENTRE L.L.C.</t>
        </is>
      </c>
    </row>
    <row r="4374">
      <c r="B4374" s="22" t="inlineStr">
        <is>
          <t>British Dental Medical Center L.L.C</t>
        </is>
      </c>
    </row>
    <row r="4375">
      <c r="B4375" s="22" t="inlineStr">
        <is>
          <t>SHIELD MEDICAL CENTER L.L.C. - BRANCH</t>
        </is>
      </c>
    </row>
    <row r="4376">
      <c r="B4376" s="22" t="inlineStr">
        <is>
          <t>CHERIE CLINIC MEDICAL CENTER - L.L.C - O.P.C</t>
        </is>
      </c>
    </row>
    <row r="4377">
      <c r="B4377" s="22" t="inlineStr">
        <is>
          <t>Abu Salman Medical Centre L.L.C.</t>
        </is>
      </c>
    </row>
    <row r="4378">
      <c r="B4378" s="22" t="inlineStr">
        <is>
          <t>Al Falah Medical Poly Clinics Llc</t>
        </is>
      </c>
    </row>
    <row r="4379">
      <c r="B4379" s="22" t="inlineStr">
        <is>
          <t>Dynamic Care Medical Center - Sole Proprietorship L.L.C.</t>
        </is>
      </c>
    </row>
    <row r="4380">
      <c r="B4380" s="22" t="inlineStr">
        <is>
          <t>Ansari Medical Centre - Llc</t>
        </is>
      </c>
    </row>
    <row r="4381">
      <c r="B4381" s="22" t="inlineStr">
        <is>
          <t>Al Rahba Dental Medical Clinic</t>
        </is>
      </c>
    </row>
    <row r="4382">
      <c r="B4382" s="22" t="inlineStr">
        <is>
          <t>Medica International Medical Center Llc</t>
        </is>
      </c>
    </row>
    <row r="4383">
      <c r="B4383" s="22" t="inlineStr">
        <is>
          <t>TWINKLE SKIN CLINIC - SOLE PROPRIETORSHIP L.L.C.</t>
        </is>
      </c>
    </row>
    <row r="4384">
      <c r="B4384" s="22" t="inlineStr">
        <is>
          <t>Al Areej Dental Clinic</t>
        </is>
      </c>
    </row>
    <row r="4385">
      <c r="B4385" s="22" t="inlineStr">
        <is>
          <t>HALA MEDICAL CENTRE</t>
        </is>
      </c>
    </row>
    <row r="4386">
      <c r="B4386" s="22" t="inlineStr">
        <is>
          <t>THE 24 CARE HUB CENTER  L.L.C.</t>
        </is>
      </c>
    </row>
    <row r="4387">
      <c r="B4387" s="22" t="inlineStr">
        <is>
          <t>KAYA SKIN CARE CLINIC</t>
        </is>
      </c>
    </row>
    <row r="4388">
      <c r="B4388" s="22" t="inlineStr">
        <is>
          <t>Medcart Pharmacy LLC</t>
        </is>
      </c>
    </row>
    <row r="4389">
      <c r="B4389" s="22" t="inlineStr">
        <is>
          <t>SHARMIN AKTER MEDICAL CENTER - L.L.C</t>
        </is>
      </c>
    </row>
    <row r="4390">
      <c r="B4390" s="22" t="inlineStr">
        <is>
          <t>Neuron Psychological Care Center Llc</t>
        </is>
      </c>
    </row>
    <row r="4391">
      <c r="B4391" s="22" t="inlineStr">
        <is>
          <t>Yas Physiotherapy Centre L.L.C.</t>
        </is>
      </c>
    </row>
    <row r="4392">
      <c r="B4392" s="22" t="inlineStr">
        <is>
          <t>CITY LIGHT PHARMACY</t>
        </is>
      </c>
    </row>
    <row r="4393">
      <c r="B4393" s="22" t="inlineStr">
        <is>
          <t>Suhail Pharmacy</t>
        </is>
      </c>
    </row>
    <row r="4394">
      <c r="B4394" s="22" t="inlineStr">
        <is>
          <t>Qualitydent Medical Centre</t>
        </is>
      </c>
    </row>
    <row r="4395">
      <c r="B4395" s="22" t="inlineStr">
        <is>
          <t>Damas Care Dental Center</t>
        </is>
      </c>
    </row>
    <row r="4396">
      <c r="B4396" s="22" t="inlineStr">
        <is>
          <t>AL SAADA PHARMACY</t>
        </is>
      </c>
    </row>
    <row r="4397">
      <c r="B4397" s="22" t="inlineStr">
        <is>
          <t>EYEYZONE ( BR OF EXCEL ENTERPRISES ) BRANCH OF ABU DHABI 1</t>
        </is>
      </c>
    </row>
    <row r="4398">
      <c r="B4398" s="22" t="inlineStr">
        <is>
          <t>Medi Life Pharmacy</t>
        </is>
      </c>
    </row>
    <row r="4399">
      <c r="B4399" s="22" t="inlineStr">
        <is>
          <t>UNITEAM PRIMARY HEALTH CARE CENTER L.L.C GROUP</t>
        </is>
      </c>
    </row>
    <row r="4400">
      <c r="B4400" s="22" t="inlineStr">
        <is>
          <t>RIVOLI EYE ZONE BR OF EXCEL ENTERPRISES - BRANCH OF ABU DHABI 4</t>
        </is>
      </c>
    </row>
    <row r="4401">
      <c r="B4401" s="22" t="inlineStr">
        <is>
          <t>Abu Dhabi Pharmacy LLC</t>
        </is>
      </c>
    </row>
    <row r="4402">
      <c r="B4402" s="22" t="inlineStr">
        <is>
          <t>Al Muwailih Pharmacy LLC</t>
        </is>
      </c>
    </row>
    <row r="4403">
      <c r="B4403" s="22" t="inlineStr">
        <is>
          <t>Barada Medical Center Llc</t>
        </is>
      </c>
    </row>
    <row r="4404">
      <c r="B4404" s="22" t="inlineStr">
        <is>
          <t>LIBERTY DENTAL CLINIC L.L.C</t>
        </is>
      </c>
    </row>
    <row r="4405">
      <c r="B4405" s="22" t="inlineStr">
        <is>
          <t>AL JABER OPTICAL CENTRE - L L C - ABU DHABI BRANCH</t>
        </is>
      </c>
    </row>
    <row r="4406">
      <c r="B4406" s="22" t="inlineStr">
        <is>
          <t>SKY DENTAL CENTER L.L.C</t>
        </is>
      </c>
    </row>
    <row r="4407">
      <c r="B4407" s="22" t="inlineStr">
        <is>
          <t>Metro International Medical Center</t>
        </is>
      </c>
    </row>
    <row r="4408">
      <c r="B4408" s="22" t="inlineStr">
        <is>
          <t>MANCHESTER HOME HEALTH CARE L.L.C.</t>
        </is>
      </c>
    </row>
    <row r="4409">
      <c r="B4409" s="22" t="inlineStr">
        <is>
          <t>Hanadi (Group)</t>
        </is>
      </c>
    </row>
    <row r="4410">
      <c r="B4410" s="22" t="inlineStr">
        <is>
          <t>B F PHARMACY</t>
        </is>
      </c>
    </row>
    <row r="4411">
      <c r="B4411" s="22" t="inlineStr">
        <is>
          <t>SKIN INSTITUTE DERMATOLOGY MEDICAL CENTRE - SOLE PROPRIETORSHIP L.L.C.</t>
        </is>
      </c>
    </row>
    <row r="4412">
      <c r="B4412" s="22" t="inlineStr">
        <is>
          <t>Dune Pharmacy Sole Proprietorship LLC</t>
        </is>
      </c>
    </row>
    <row r="4413">
      <c r="B4413" s="22" t="inlineStr">
        <is>
          <t>ZEISS VISION CENTER BY RIVOLI VISION (BR OF EXCEL ENTERPRISES L L C)</t>
        </is>
      </c>
    </row>
    <row r="4414">
      <c r="B4414" s="22" t="inlineStr">
        <is>
          <t>Advanced (Group)</t>
        </is>
      </c>
    </row>
    <row r="4415">
      <c r="B4415" s="22" t="inlineStr">
        <is>
          <t>Health Premium Home Health Care Services</t>
        </is>
      </c>
    </row>
    <row r="4416">
      <c r="B4416" s="22" t="inlineStr">
        <is>
          <t>ANGEL MED PHARMACY L.L.C.</t>
        </is>
      </c>
    </row>
    <row r="4417">
      <c r="B4417" s="22" t="inlineStr">
        <is>
          <t>RIVOLI EYE ZONE BRANCH OF EXCEL ENTERPRISES L L C - BRANCH OF ABU DHABI 4 - BRANCH OF ABU DHABI 5</t>
        </is>
      </c>
    </row>
    <row r="4418">
      <c r="B4418" s="22" t="inlineStr">
        <is>
          <t>SMILE FIRST DENTAL CENTER</t>
        </is>
      </c>
    </row>
    <row r="4419">
      <c r="B4419" s="22" t="inlineStr">
        <is>
          <t>Al Dhafra Dental Specialized Clinic</t>
        </is>
      </c>
    </row>
    <row r="4420">
      <c r="B4420" s="22" t="inlineStr">
        <is>
          <t>Al Dawaa Pharmacy LLC</t>
        </is>
      </c>
    </row>
    <row r="4421">
      <c r="B4421" s="22" t="inlineStr">
        <is>
          <t>Alpha Medical Centre Llc</t>
        </is>
      </c>
    </row>
    <row r="4422">
      <c r="B4422" s="22" t="inlineStr">
        <is>
          <t>RIVOLI EYE ZONE BRANCH OF EXCEL ENTERPRISES L L C - BRANCH OF ABU DHABI 5</t>
        </is>
      </c>
    </row>
    <row r="4423">
      <c r="B4423" s="22" t="inlineStr">
        <is>
          <t>SHIELD MEDICAL CENTER. L.L.C</t>
        </is>
      </c>
    </row>
    <row r="4424">
      <c r="B4424" s="22" t="inlineStr">
        <is>
          <t>GULF INTERNATIONAL MEDICAL SERVICES L.L.C.</t>
        </is>
      </c>
    </row>
    <row r="4425">
      <c r="B4425" s="22" t="inlineStr">
        <is>
          <t>AL MAARED PHARMACY</t>
        </is>
      </c>
    </row>
    <row r="4426">
      <c r="B4426" s="22" t="inlineStr">
        <is>
          <t>GHIYATHI PHARMACY</t>
        </is>
      </c>
    </row>
    <row r="4427">
      <c r="B4427" s="22" t="inlineStr">
        <is>
          <t>MEDCART MEDICAL CENTRE - SOLE PROPRIETORSHIP L.L.C.</t>
        </is>
      </c>
    </row>
    <row r="4428">
      <c r="B4428" s="22" t="inlineStr">
        <is>
          <t>ELITECARE MEDICAL CENTRE-SOLE PROPRIETORSHIP LLC</t>
        </is>
      </c>
    </row>
    <row r="4429">
      <c r="B4429" s="22" t="inlineStr">
        <is>
          <t>Unique Care Pharmacy</t>
        </is>
      </c>
    </row>
    <row r="4430">
      <c r="B4430" s="22" t="inlineStr">
        <is>
          <t>AL MUKHTAR MEDICAL CENTER</t>
        </is>
      </c>
    </row>
    <row r="4431">
      <c r="B4431" s="22" t="inlineStr">
        <is>
          <t>Emirates Audiology Centre</t>
        </is>
      </c>
    </row>
    <row r="4432">
      <c r="B4432" s="22" t="inlineStr">
        <is>
          <t>MED DOC PHARMACY - L.L.C - O.P.C</t>
        </is>
      </c>
    </row>
    <row r="4433">
      <c r="B4433" s="22" t="inlineStr">
        <is>
          <t>Diamond Dental Clinic</t>
        </is>
      </c>
    </row>
    <row r="4434">
      <c r="B4434" s="22" t="inlineStr">
        <is>
          <t>Al Wahda (Group)</t>
        </is>
      </c>
    </row>
    <row r="4435">
      <c r="B4435" s="22" t="inlineStr">
        <is>
          <t>DEW DERM AESTHETIC CENTER L.L.C</t>
        </is>
      </c>
    </row>
    <row r="4436">
      <c r="B4436" s="22" t="inlineStr">
        <is>
          <t>Nawaf Pharmacy ? Sole Proprietorship L.L.C.</t>
        </is>
      </c>
    </row>
    <row r="4437">
      <c r="B4437" s="22" t="inlineStr">
        <is>
          <t>Amissa Pharmacy</t>
        </is>
      </c>
    </row>
    <row r="4438">
      <c r="B4438" s="22" t="inlineStr">
        <is>
          <t>NEW AL SHAM PHARMCY LLC</t>
        </is>
      </c>
    </row>
    <row r="4439">
      <c r="B4439" s="22" t="inlineStr">
        <is>
          <t>LE JOUE BEAUTY CLINIC</t>
        </is>
      </c>
    </row>
    <row r="4440">
      <c r="B4440" s="22" t="inlineStr">
        <is>
          <t>AAMER HOME HEALTH CARE CENTER L.L.C</t>
        </is>
      </c>
    </row>
    <row r="4441">
      <c r="B4441" s="22" t="inlineStr">
        <is>
          <t>Vista Care Specialized Clinic</t>
        </is>
      </c>
    </row>
    <row r="4442">
      <c r="B4442" s="22" t="inlineStr">
        <is>
          <t>Arabian Home Healthcare (Group)</t>
        </is>
      </c>
    </row>
    <row r="4443">
      <c r="B4443" s="22" t="inlineStr">
        <is>
          <t>Touch Of Health (Group)</t>
        </is>
      </c>
    </row>
    <row r="4444">
      <c r="B4444" s="22" t="inlineStr">
        <is>
          <t>THE FIRST DUBAI CORPORATION</t>
        </is>
      </c>
    </row>
    <row r="4445">
      <c r="B4445" s="22" t="inlineStr">
        <is>
          <t>IBN SINA PHARMACY  - SOLE PROPRIETORSHIP L.L.C. - BRANCH 27</t>
        </is>
      </c>
    </row>
    <row r="4446">
      <c r="B4446" s="22" t="inlineStr">
        <is>
          <t>Haddad Medical &amp; Dental Centre L.L.C.</t>
        </is>
      </c>
    </row>
    <row r="4447">
      <c r="B4447" s="22" t="inlineStr">
        <is>
          <t>CHARISMA PHARMACY - SOLE PROPRIETORSHIP L.L.C</t>
        </is>
      </c>
    </row>
    <row r="4448">
      <c r="B4448" s="22" t="inlineStr">
        <is>
          <t>CHARITE MEDICAL CENTER</t>
        </is>
      </c>
    </row>
    <row r="4449">
      <c r="B4449" s="22" t="inlineStr">
        <is>
          <t>AL SAHM AL THAHABI HOME MEDICAL AND HEALTH CARE SERVICES - SOLE PROPRIETORSHIP L.L.C</t>
        </is>
      </c>
    </row>
    <row r="4450">
      <c r="B4450" s="22" t="inlineStr">
        <is>
          <t>MEDMAX PHARMACY L.L.C.</t>
        </is>
      </c>
    </row>
    <row r="4451">
      <c r="B4451" s="22" t="inlineStr">
        <is>
          <t>MULLAZAMA NURSING &amp; HOME HEALTH CARE</t>
        </is>
      </c>
    </row>
    <row r="4452">
      <c r="B4452" s="22" t="inlineStr">
        <is>
          <t>ISHRAQ HOME HEALTH CARE</t>
        </is>
      </c>
    </row>
    <row r="4453">
      <c r="B4453" s="22" t="inlineStr">
        <is>
          <t>GROW &amp; GLOW MEDCLINIC - SOLE PROPRIETORSHIP L.L.C.</t>
        </is>
      </c>
    </row>
    <row r="4454">
      <c r="B4454" s="22" t="inlineStr">
        <is>
          <t>BEAUTY PLUS MEDICAL CENTER L.L.C</t>
        </is>
      </c>
    </row>
    <row r="4455">
      <c r="B4455" s="22" t="inlineStr">
        <is>
          <t>All Care (Group)</t>
        </is>
      </c>
    </row>
    <row r="4456">
      <c r="B4456" s="22" t="inlineStr">
        <is>
          <t>AL RAIAA HOME HEALTH CARE L.L.C.</t>
        </is>
      </c>
    </row>
    <row r="4457">
      <c r="B4457" s="22" t="inlineStr">
        <is>
          <t>Bianca Medical Center - Sole Proprietorship L.L.C.</t>
        </is>
      </c>
    </row>
    <row r="4458">
      <c r="B4458" s="22" t="inlineStr">
        <is>
          <t>IBN SINA PHARMACY SOLE PROPRIETORSHIP L.L.C - Branch 20</t>
        </is>
      </c>
    </row>
    <row r="4459">
      <c r="B4459" s="22" t="inlineStr">
        <is>
          <t>INTRA LASER-MEDICAL CENTER - SOLE PROPRIETORSHIP L.L.C</t>
        </is>
      </c>
    </row>
    <row r="4460">
      <c r="B4460" s="22" t="inlineStr">
        <is>
          <t>Clinix Pharmacy (Group)</t>
        </is>
      </c>
    </row>
    <row r="4461">
      <c r="B4461" s="22" t="inlineStr">
        <is>
          <t>Max Care Pharmacy</t>
        </is>
      </c>
    </row>
    <row r="4462">
      <c r="B4462" s="22" t="inlineStr">
        <is>
          <t>Green Care Pharmacy- Sole Proprietorship LLC</t>
        </is>
      </c>
    </row>
    <row r="4463">
      <c r="B4463" s="22" t="inlineStr">
        <is>
          <t>ADVANCED MEDICAL CENTRE</t>
        </is>
      </c>
    </row>
    <row r="4464">
      <c r="B4464" s="22" t="inlineStr">
        <is>
          <t>CARE POINT CLINIC- L.L.C</t>
        </is>
      </c>
    </row>
    <row r="4465">
      <c r="B4465" s="22" t="inlineStr">
        <is>
          <t>CREATIVE MEDICAL CENTER - SOLE PROPRIETORSHIP L.L.C.</t>
        </is>
      </c>
    </row>
    <row r="4466">
      <c r="B4466" s="22" t="inlineStr">
        <is>
          <t>Bright Dental Polyclinic Llc</t>
        </is>
      </c>
    </row>
    <row r="4467">
      <c r="B4467" s="22" t="inlineStr">
        <is>
          <t>EUROPEAN CANADIAN MEDICAL CENTER LLC</t>
        </is>
      </c>
    </row>
    <row r="4468">
      <c r="B4468" s="22" t="inlineStr">
        <is>
          <t>Al Ahalia International Pharmacy</t>
        </is>
      </c>
    </row>
    <row r="4469">
      <c r="B4469" s="22" t="inlineStr">
        <is>
          <t>Good Life Pharmacy</t>
        </is>
      </c>
    </row>
    <row r="4470">
      <c r="B4470" s="22" t="inlineStr">
        <is>
          <t>Time Cure (Group)</t>
        </is>
      </c>
    </row>
    <row r="4471">
      <c r="B4471" s="22" t="inlineStr">
        <is>
          <t>Manzil Home Health Services L.L.C</t>
        </is>
      </c>
    </row>
    <row r="4472">
      <c r="B4472" s="22" t="inlineStr">
        <is>
          <t>ROYAL HOME MEDICAL HOME AND HEALTH CARE CENTER</t>
        </is>
      </c>
    </row>
    <row r="4473">
      <c r="B4473" s="22" t="inlineStr">
        <is>
          <t>Future Rehabilitation Centre</t>
        </is>
      </c>
    </row>
    <row r="4474">
      <c r="B4474" s="22" t="inlineStr">
        <is>
          <t>Perfect Pharmacy</t>
        </is>
      </c>
    </row>
    <row r="4475">
      <c r="B4475" s="22" t="inlineStr">
        <is>
          <t>AL SAFWA HEALTHCARE L.L.C.</t>
        </is>
      </c>
    </row>
    <row r="4476">
      <c r="B4476" s="22" t="inlineStr">
        <is>
          <t>MEDISERV PHARMACY - SOLE PROPRIETORSHIP LLC</t>
        </is>
      </c>
    </row>
    <row r="4477">
      <c r="B4477" s="22" t="inlineStr">
        <is>
          <t>Beneficial Pharmacy L.L.C.</t>
        </is>
      </c>
    </row>
    <row r="4478">
      <c r="B4478" s="22" t="inlineStr">
        <is>
          <t>REAL HEALTH PHARMACY</t>
        </is>
      </c>
    </row>
    <row r="4479">
      <c r="B4479" s="22" t="inlineStr">
        <is>
          <t>DERMA SOLUTIONS MEDICAL CENTER</t>
        </is>
      </c>
    </row>
    <row r="4480">
      <c r="B4480" s="22" t="inlineStr">
        <is>
          <t>Genet Dental Center L.L.C.</t>
        </is>
      </c>
    </row>
    <row r="4481">
      <c r="B4481" s="22" t="inlineStr">
        <is>
          <t>INTERNATIONAL AESTHETIC MEDICAL CENTER - SOLE PROPRIETORSHIP L.L.C.</t>
        </is>
      </c>
    </row>
    <row r="4482">
      <c r="B4482" s="22" t="inlineStr">
        <is>
          <t>VIDAL DENTAL CENTER - L.L.C</t>
        </is>
      </c>
    </row>
    <row r="4483">
      <c r="B4483" s="22" t="inlineStr">
        <is>
          <t>M 26 Pharmacy</t>
        </is>
      </c>
    </row>
    <row r="4484">
      <c r="B4484" s="22" t="inlineStr">
        <is>
          <t>LUMIERE SKIN CLINIC LLC</t>
        </is>
      </c>
    </row>
    <row r="4485">
      <c r="B4485" s="22" t="inlineStr">
        <is>
          <t>BEUTY STYLE MEDICAL CENTRE</t>
        </is>
      </c>
    </row>
    <row r="4486">
      <c r="B4486" s="22" t="inlineStr">
        <is>
          <t>RAYHAN PRIMARY HEALTHCARE CENTRE - SOLE PROPRIETORSHIP L.L.C.</t>
        </is>
      </c>
    </row>
    <row r="4487">
      <c r="B4487" s="22" t="inlineStr">
        <is>
          <t>Sad Pharmacy</t>
        </is>
      </c>
    </row>
    <row r="4488">
      <c r="B4488" s="22" t="inlineStr">
        <is>
          <t>KAYA SKIN CARE CLINIC-BRANCH</t>
        </is>
      </c>
    </row>
    <row r="4489">
      <c r="B4489" s="22" t="inlineStr">
        <is>
          <t>AL AINA PHARMACY - SOLE PROPRIETORSHIP L.L.C.</t>
        </is>
      </c>
    </row>
    <row r="4490">
      <c r="B4490" s="22" t="inlineStr">
        <is>
          <t>Al Mirage Medical Center</t>
        </is>
      </c>
    </row>
    <row r="4491">
      <c r="B4491" s="22" t="inlineStr">
        <is>
          <t>RIVOLI EYE ZONE BRANCH OF EXCEL ENTERPRISES L L C - BRANCH OF ABU DHABI 2</t>
        </is>
      </c>
    </row>
    <row r="4492">
      <c r="B4492" s="22" t="inlineStr">
        <is>
          <t>ELITE MEDICAL CENTER - SOLE PROEPRIETORSHIP L.L.C</t>
        </is>
      </c>
    </row>
    <row r="4493">
      <c r="B4493" s="22" t="inlineStr">
        <is>
          <t>Maher Medical Centre LLC</t>
        </is>
      </c>
    </row>
    <row r="4494">
      <c r="B4494" s="22" t="inlineStr">
        <is>
          <t>Care Pharmacy</t>
        </is>
      </c>
    </row>
    <row r="4495">
      <c r="B4495" s="22" t="inlineStr">
        <is>
          <t>Health &amp; Beauty (Group)</t>
        </is>
      </c>
    </row>
    <row r="4496">
      <c r="B4496" s="22" t="inlineStr">
        <is>
          <t>ZEST WELLNESS PHARMACY</t>
        </is>
      </c>
    </row>
    <row r="4497">
      <c r="B4497" s="22" t="inlineStr">
        <is>
          <t>AFAQ MEDICAL HEALTH CENTRE  L.L.C.</t>
        </is>
      </c>
    </row>
    <row r="4498">
      <c r="B4498" s="22" t="inlineStr">
        <is>
          <t>BALSAM ALRIHAN CENTER FOR INTERGRATIVE MEDICINE L.L.C.</t>
        </is>
      </c>
    </row>
    <row r="4499">
      <c r="B4499" s="22" t="inlineStr">
        <is>
          <t>National Dental Clinic</t>
        </is>
      </c>
    </row>
    <row r="4500">
      <c r="B4500" s="22" t="inlineStr">
        <is>
          <t>Hope Medical (Group)</t>
        </is>
      </c>
    </row>
    <row r="4501">
      <c r="B4501" s="22" t="inlineStr">
        <is>
          <t>KAYA SKIN CARE CLINIC- BRANCH 3-ABUDHABI MALL</t>
        </is>
      </c>
    </row>
    <row r="4502">
      <c r="B4502" s="22" t="inlineStr">
        <is>
          <t>EMIRATI CANADIAN HOME HEALTH CARE SERVICES - SOLE PROPRIETORSHIP L.L.C.</t>
        </is>
      </c>
    </row>
    <row r="4503">
      <c r="B4503" s="22" t="inlineStr">
        <is>
          <t>KAYA BEAUTY CLINIC</t>
        </is>
      </c>
    </row>
    <row r="4504">
      <c r="B4504" s="22" t="inlineStr">
        <is>
          <t>DR MASSEFA MEDICAL CENTER</t>
        </is>
      </c>
    </row>
    <row r="4505">
      <c r="B4505" s="22" t="inlineStr">
        <is>
          <t>LUMIERE SKIN CLINIC L.L.C. - BRANCH DELMA MALL</t>
        </is>
      </c>
    </row>
    <row r="4506">
      <c r="B4506" s="22" t="inlineStr">
        <is>
          <t>PUBLIC LIFE PHARMACY L.L.C.</t>
        </is>
      </c>
    </row>
    <row r="4507">
      <c r="B4507" s="22" t="inlineStr">
        <is>
          <t>HEALTH CLEAR MEDICAL CENTER L.L.C.</t>
        </is>
      </c>
    </row>
    <row r="4508">
      <c r="B4508" s="22" t="inlineStr">
        <is>
          <t>Kids First (Group)</t>
        </is>
      </c>
    </row>
    <row r="4509">
      <c r="B4509" s="22" t="inlineStr">
        <is>
          <t>VIVID PHARMACY LLC</t>
        </is>
      </c>
    </row>
    <row r="4510">
      <c r="B4510" s="22" t="inlineStr">
        <is>
          <t>PROFICIENCY MEDICAL CENTER</t>
        </is>
      </c>
    </row>
    <row r="4511">
      <c r="B4511" s="22" t="inlineStr">
        <is>
          <t>VISTA PHARMACY  - SOLE PROPRIETORSHIP L.L.C.</t>
        </is>
      </c>
    </row>
    <row r="4512">
      <c r="B4512" s="22" t="inlineStr">
        <is>
          <t>RIVOLI EYE ZONE ( BRANCH OF EXCEL ENTERPRISES) L L C - BRANCH OF ABU DHABI 3</t>
        </is>
      </c>
    </row>
    <row r="4513">
      <c r="B4513" s="22" t="inlineStr">
        <is>
          <t>Med Scope Medical Center Llc</t>
        </is>
      </c>
    </row>
    <row r="4514">
      <c r="B4514" s="22" t="inlineStr">
        <is>
          <t>COSMEDICS SKIN &amp; LASER CLINIC</t>
        </is>
      </c>
    </row>
    <row r="4515">
      <c r="B4515" s="22" t="inlineStr">
        <is>
          <t>DR SAHAR ALKADHI MEDICAL CENTER - SOLE PROPRIETORSHIP L.L.C</t>
        </is>
      </c>
    </row>
    <row r="4516">
      <c r="B4516" s="22" t="inlineStr">
        <is>
          <t>Alnas Pharmacy</t>
        </is>
      </c>
    </row>
    <row r="4517">
      <c r="B4517" s="22" t="inlineStr">
        <is>
          <t>Al Furqan Pharmacy</t>
        </is>
      </c>
    </row>
    <row r="4518">
      <c r="B4518" s="22" t="inlineStr">
        <is>
          <t>Visage Pharmacy LLC</t>
        </is>
      </c>
    </row>
    <row r="4519">
      <c r="B4519" s="22" t="inlineStr">
        <is>
          <t>AL JIMI MEDICAL POLYCLINICS - BRANCH</t>
        </is>
      </c>
    </row>
    <row r="4520">
      <c r="B4520" s="22" t="inlineStr">
        <is>
          <t>LAVISH MEDICAL CENTER</t>
        </is>
      </c>
    </row>
    <row r="4521">
      <c r="B4521" s="22" t="inlineStr">
        <is>
          <t>Al Sila Pharmacy</t>
        </is>
      </c>
    </row>
    <row r="4522">
      <c r="B4522" s="22" t="inlineStr">
        <is>
          <t>BSK MEDICAL CENTER L.L.C.</t>
        </is>
      </c>
    </row>
    <row r="4523">
      <c r="B4523" s="22" t="inlineStr">
        <is>
          <t>Famous Medical Centre (group)</t>
        </is>
      </c>
    </row>
    <row r="4524">
      <c r="B4524" s="22" t="inlineStr">
        <is>
          <t>AURA AESTHETICS DERMATOLOGY AND VENEROLOGY CLINIC L.L.C.</t>
        </is>
      </c>
    </row>
    <row r="4525">
      <c r="B4525" s="22" t="inlineStr">
        <is>
          <t>Multicare Pharmacy</t>
        </is>
      </c>
    </row>
    <row r="4526">
      <c r="B4526" s="22" t="inlineStr">
        <is>
          <t>ULTRA AESTHETIC FOR SKIN CARE CENTER L.L.C.</t>
        </is>
      </c>
    </row>
    <row r="4527">
      <c r="B4527" s="22" t="inlineStr">
        <is>
          <t>SMART HOME CARE- SOLE PROPRIETORSHIP L.L.C</t>
        </is>
      </c>
    </row>
    <row r="4528">
      <c r="B4528" s="22" t="inlineStr">
        <is>
          <t>Alshamil Pharmacy LLC</t>
        </is>
      </c>
    </row>
    <row r="4529">
      <c r="B4529" s="22" t="inlineStr">
        <is>
          <t>Arzana Pharmacy</t>
        </is>
      </c>
    </row>
    <row r="4530">
      <c r="B4530" s="22" t="inlineStr">
        <is>
          <t>GLAM SMILE DENTAL CENTER L.L.C</t>
        </is>
      </c>
    </row>
    <row r="4531">
      <c r="B4531" s="22" t="inlineStr">
        <is>
          <t>Al Khaleej Healhcare Center Pharmacy</t>
        </is>
      </c>
    </row>
    <row r="4532">
      <c r="B4532" s="22" t="inlineStr">
        <is>
          <t>Al Jahily Pharmacy</t>
        </is>
      </c>
    </row>
    <row r="4533">
      <c r="B4533" s="22" t="inlineStr">
        <is>
          <t>Alpha (Group)</t>
        </is>
      </c>
    </row>
    <row r="4534">
      <c r="B4534" s="22" t="inlineStr">
        <is>
          <t>AMARYLLIS POLYCLINIC L.L.C</t>
        </is>
      </c>
    </row>
    <row r="4535">
      <c r="B4535" s="22" t="inlineStr">
        <is>
          <t>Neima Pharmacy</t>
        </is>
      </c>
    </row>
    <row r="4536">
      <c r="B4536" s="22" t="inlineStr">
        <is>
          <t>The Open Mri Center - L L C</t>
        </is>
      </c>
    </row>
    <row r="4537">
      <c r="B4537" s="22" t="inlineStr">
        <is>
          <t>CHARISMA MEDICAL CENTER L.L.C</t>
        </is>
      </c>
    </row>
    <row r="4538">
      <c r="B4538" s="22" t="inlineStr">
        <is>
          <t>ISLAMABAD MEDICAL CENTER</t>
        </is>
      </c>
    </row>
    <row r="4539">
      <c r="B4539" s="22" t="inlineStr">
        <is>
          <t>ATLAS PHARMACY - SOLE PROPRIETORSHIP L.L.C.</t>
        </is>
      </c>
    </row>
    <row r="4540">
      <c r="B4540" s="22" t="inlineStr">
        <is>
          <t>CHALLENGE MEDICAL CENTER L L C</t>
        </is>
      </c>
    </row>
    <row r="4541">
      <c r="B4541" s="22" t="inlineStr">
        <is>
          <t>A K PHARMACY - SOLE PROPRIETORSHIP L.L.C.</t>
        </is>
      </c>
    </row>
    <row r="4542">
      <c r="B4542" s="22" t="inlineStr">
        <is>
          <t>Hanadi Medical Center</t>
        </is>
      </c>
    </row>
    <row r="4543">
      <c r="B4543" s="22" t="inlineStr">
        <is>
          <t>BLUEBELL HEALTH PHARMACY L.L.C.</t>
        </is>
      </c>
    </row>
    <row r="4544">
      <c r="B4544" s="22" t="inlineStr">
        <is>
          <t>DR.SUAD LUTFI MEDICAL CENTER L L C - BRANCH OF ABU DHABI 1</t>
        </is>
      </c>
    </row>
    <row r="4545">
      <c r="B4545" s="22" t="inlineStr">
        <is>
          <t>MIDDLE EAST OPTICAL L.L.C</t>
        </is>
      </c>
    </row>
    <row r="4546">
      <c r="B4546" s="22" t="inlineStr">
        <is>
          <t>B F MEDICAL CENTER</t>
        </is>
      </c>
    </row>
    <row r="4547">
      <c r="B4547" s="22" t="inlineStr">
        <is>
          <t>CORPOFINO DERMATOLOGY CLINIC L L C</t>
        </is>
      </c>
    </row>
    <row r="4548">
      <c r="B4548" s="22" t="inlineStr">
        <is>
          <t>Alhikma Pharmacies (Group)</t>
        </is>
      </c>
    </row>
    <row r="4549">
      <c r="B4549" s="22" t="inlineStr">
        <is>
          <t>AL DHABI DENTAL CLINIC L.L.C.</t>
        </is>
      </c>
    </row>
    <row r="4550">
      <c r="B4550" s="22" t="inlineStr">
        <is>
          <t>Vital Health Pharmacy L.L.C.</t>
        </is>
      </c>
    </row>
    <row r="4551">
      <c r="B4551" s="22" t="inlineStr">
        <is>
          <t>Al Neem (Group)</t>
        </is>
      </c>
    </row>
    <row r="4552">
      <c r="B4552" s="22" t="inlineStr">
        <is>
          <t>Al Naseem Medicalcentre Llc</t>
        </is>
      </c>
    </row>
    <row r="4553">
      <c r="B4553" s="22" t="inlineStr">
        <is>
          <t>LUMIERE SKIN CLINIC L.L.C. â€“ BRANCH AL AIN LADIES CLUB</t>
        </is>
      </c>
    </row>
    <row r="4554">
      <c r="B4554" s="22" t="inlineStr">
        <is>
          <t>BEST HEALTH CARE PHARMACY L.L.C.</t>
        </is>
      </c>
    </row>
    <row r="4555">
      <c r="B4555" s="22" t="inlineStr">
        <is>
          <t>Al Afdal Pharmacy</t>
        </is>
      </c>
    </row>
    <row r="4556">
      <c r="B4556" s="22" t="inlineStr">
        <is>
          <t>MAHARA HEALTH CARE L.L.C.</t>
        </is>
      </c>
    </row>
    <row r="4557">
      <c r="B4557" s="22" t="inlineStr">
        <is>
          <t>Al Rahma Pharmacy</t>
        </is>
      </c>
    </row>
    <row r="4558">
      <c r="B4558" s="22" t="inlineStr">
        <is>
          <t>Providence International (Group)</t>
        </is>
      </c>
    </row>
    <row r="4559">
      <c r="B4559" s="22" t="inlineStr">
        <is>
          <t>Dr. Ibrahim Al Dajani Clinic</t>
        </is>
      </c>
    </row>
    <row r="4560">
      <c r="B4560" s="22" t="inlineStr">
        <is>
          <t>ALPHA PHARMACY</t>
        </is>
      </c>
    </row>
    <row r="4561">
      <c r="B4561" s="22" t="inlineStr">
        <is>
          <t>RIVOLI EYE ZONE (BRANCH OF EXCEL ENTERPRISES LLC - BRANCH OF ABU DHABI 1</t>
        </is>
      </c>
    </row>
    <row r="4562">
      <c r="B4562" s="22" t="inlineStr">
        <is>
          <t>LAKESHORE MEDICAL CENTER L.L.C.</t>
        </is>
      </c>
    </row>
    <row r="4563">
      <c r="B4563" s="22" t="inlineStr">
        <is>
          <t>Extreme Dental Center - Sole Proprietorship Llc</t>
        </is>
      </c>
    </row>
    <row r="4564">
      <c r="B4564" s="22" t="inlineStr">
        <is>
          <t>Lara Pharmacy LLC</t>
        </is>
      </c>
    </row>
    <row r="4565">
      <c r="B4565" s="22" t="inlineStr">
        <is>
          <t>Sadaf Pharmacy</t>
        </is>
      </c>
    </row>
    <row r="4566">
      <c r="B4566" s="22" t="inlineStr">
        <is>
          <t>SKIN &amp; SLIM MEDICAL CENTER L.L.C</t>
        </is>
      </c>
    </row>
    <row r="4567">
      <c r="B4567" s="22" t="inlineStr">
        <is>
          <t>Julfar Dental Clinic</t>
        </is>
      </c>
    </row>
    <row r="4568">
      <c r="B4568" s="22" t="inlineStr">
        <is>
          <t>BELLEVUE MEDICALCENTER - SOLE PROPRIETORSHIP L.L.C.</t>
        </is>
      </c>
    </row>
    <row r="4569">
      <c r="B4569" s="22" t="inlineStr">
        <is>
          <t>RIVOLI EYE ZONE -BRANCH OF EXCEL ENTERPRISES LLC - ABU DHABI</t>
        </is>
      </c>
    </row>
    <row r="4570">
      <c r="B4570" s="22" t="inlineStr">
        <is>
          <t>HOUSE OF SKINCARE BEAUTY CLINIC - SOLE PROPRIETORSHIP L.L.C.</t>
        </is>
      </c>
    </row>
    <row r="4571">
      <c r="B4571" s="22" t="inlineStr">
        <is>
          <t>MAJZOUB OPTICALS - L L C</t>
        </is>
      </c>
    </row>
    <row r="4572">
      <c r="B4572" s="22" t="inlineStr">
        <is>
          <t>CORAL DENTAL CENTER</t>
        </is>
      </c>
    </row>
    <row r="4573">
      <c r="B4573" s="22" t="inlineStr">
        <is>
          <t>RIVOLI EYEZONE</t>
        </is>
      </c>
    </row>
    <row r="4574">
      <c r="B4574" s="22" t="inlineStr">
        <is>
          <t>MERCIFUL HANDS HOME HEALTH CARE L.L.C.</t>
        </is>
      </c>
    </row>
    <row r="4575">
      <c r="B4575" s="22" t="inlineStr">
        <is>
          <t>RAINBOW CITY PHARMACY LLC</t>
        </is>
      </c>
    </row>
    <row r="4576">
      <c r="B4576" s="22" t="inlineStr">
        <is>
          <t>ULTRALASIK EYE CENTER - SOLE PROPRIETORSHIP L.L.C</t>
        </is>
      </c>
    </row>
    <row r="4577">
      <c r="B4577" s="22" t="inlineStr">
        <is>
          <t>EYEZONE ( BR OF EXCEL ENTERPRISES (L.L.C)) - BRANCH OF ABU DHABI 2</t>
        </is>
      </c>
    </row>
    <row r="4578">
      <c r="B4578" s="22" t="inlineStr">
        <is>
          <t>GULF CHINESE MEDICAL CENTER - SOLE PROPRIETORSHIP L.L.C.</t>
        </is>
      </c>
    </row>
    <row r="4579">
      <c r="B4579" s="22" t="inlineStr">
        <is>
          <t>PURECARE MEDICAL CENTRE</t>
        </is>
      </c>
    </row>
    <row r="4580">
      <c r="B4580" s="22" t="inlineStr">
        <is>
          <t>HMC MEDICAL CENTRE - L.L.C - O.P.C</t>
        </is>
      </c>
    </row>
    <row r="4581">
      <c r="B4581" s="22" t="inlineStr">
        <is>
          <t>Al Manhal Healthcare Center Pharmacy</t>
        </is>
      </c>
    </row>
    <row r="4582">
      <c r="B4582" s="22" t="inlineStr">
        <is>
          <t>BAB AL MADINA PHARMACY</t>
        </is>
      </c>
    </row>
    <row r="4583">
      <c r="B4583" s="22" t="inlineStr">
        <is>
          <t>AILABOUNY MEDICAL CENTER L.L.C L.L.C.</t>
        </is>
      </c>
    </row>
    <row r="4584">
      <c r="B4584" s="22" t="inlineStr">
        <is>
          <t>Instant Care Pharmacy</t>
        </is>
      </c>
    </row>
    <row r="4585">
      <c r="B4585" s="22" t="inlineStr">
        <is>
          <t>CLINICA JOELLE CENTER L L C</t>
        </is>
      </c>
    </row>
    <row r="4586">
      <c r="B4586" s="22" t="inlineStr">
        <is>
          <t>IBN RUSHD PHARMACY LLC</t>
        </is>
      </c>
    </row>
    <row r="4587">
      <c r="B4587" s="22" t="inlineStr">
        <is>
          <t>Clarion Medical Center LLC</t>
        </is>
      </c>
    </row>
    <row r="4588">
      <c r="B4588" s="22" t="inlineStr">
        <is>
          <t>SIDRA PHARMACY - SOLE PROPRIETORSHIP L.L.C.</t>
        </is>
      </c>
    </row>
    <row r="4589">
      <c r="B4589" s="22" t="inlineStr">
        <is>
          <t>PARADISE MEDICAL CENTER L.L.C.</t>
        </is>
      </c>
    </row>
    <row r="4590">
      <c r="B4590" s="22" t="inlineStr">
        <is>
          <t>TRUE HOPE PHARMACY - SOLE PROPRIETORSHIP L.L.C.</t>
        </is>
      </c>
    </row>
    <row r="4591">
      <c r="B4591" s="22" t="inlineStr">
        <is>
          <t>LABELLE MEDICAL CENTER L L C - SOLE PROPRIETORSHIP L.L.C.</t>
        </is>
      </c>
    </row>
    <row r="4592">
      <c r="B4592" s="22" t="inlineStr">
        <is>
          <t>A B C PLUS MEDICAL CENTER</t>
        </is>
      </c>
    </row>
    <row r="4593">
      <c r="B4593" s="22" t="inlineStr">
        <is>
          <t>Al Borg (Group)</t>
        </is>
      </c>
    </row>
    <row r="4594">
      <c r="B4594" s="22" t="inlineStr">
        <is>
          <t>Zoe Care Pharmacy LLC</t>
        </is>
      </c>
    </row>
    <row r="4595">
      <c r="B4595" s="22" t="inlineStr">
        <is>
          <t>Green Hills Pharmacy</t>
        </is>
      </c>
    </row>
    <row r="4596">
      <c r="B4596" s="22" t="inlineStr">
        <is>
          <t>NADIA PHARMACY SOLE PROPRIETORSHIP  LLC</t>
        </is>
      </c>
    </row>
    <row r="4597">
      <c r="B4597" s="22" t="inlineStr">
        <is>
          <t>KAYA SKIN CARE CLINIC-MUSHRIF MALL BRANCH</t>
        </is>
      </c>
    </row>
    <row r="4598">
      <c r="B4598" s="22" t="inlineStr">
        <is>
          <t>True Wish Pharmacy LLC</t>
        </is>
      </c>
    </row>
    <row r="4599">
      <c r="B4599" s="22" t="inlineStr">
        <is>
          <t>Ponnery Pharmacy LLC</t>
        </is>
      </c>
    </row>
    <row r="4600">
      <c r="B4600" s="22" t="inlineStr">
        <is>
          <t>M38 PHARMACY - L.L.C</t>
        </is>
      </c>
    </row>
    <row r="4601">
      <c r="B4601" s="22" t="inlineStr">
        <is>
          <t>Nedhal Pharmacy</t>
        </is>
      </c>
    </row>
    <row r="4602">
      <c r="B4602" s="22" t="inlineStr">
        <is>
          <t>Annab Laboratory Llc</t>
        </is>
      </c>
    </row>
    <row r="4603">
      <c r="B4603" s="22" t="inlineStr">
        <is>
          <t>LUMIERE SKIN CLINIC L.L.C. â€“ BRANCH MAKANI MALL</t>
        </is>
      </c>
    </row>
    <row r="4604">
      <c r="B4604" s="22" t="inlineStr">
        <is>
          <t>ROYAL INTERNATIONAL PHARMACY</t>
        </is>
      </c>
    </row>
    <row r="4605">
      <c r="B4605" s="22" t="inlineStr">
        <is>
          <t>AL GHARBIA MEDICINE PHARMACY LLC</t>
        </is>
      </c>
    </row>
    <row r="4606">
      <c r="B4606" s="22" t="inlineStr">
        <is>
          <t>VITAL POLY CLINIC L.L.C</t>
        </is>
      </c>
    </row>
    <row r="4607">
      <c r="B4607" s="22" t="inlineStr">
        <is>
          <t>LUMIERE PLATINUM SKIN CLINIC CENTER L.L.C.</t>
        </is>
      </c>
    </row>
    <row r="4608">
      <c r="B4608" s="22" t="inlineStr">
        <is>
          <t>Al Khabisi Healthcare Center</t>
        </is>
      </c>
    </row>
    <row r="4609">
      <c r="B4609" s="22" t="inlineStr">
        <is>
          <t>AL RAHMH HOME NURSING SERVICES -  BRANCH OF ABU DHABI 1</t>
        </is>
      </c>
    </row>
    <row r="4610">
      <c r="B4610" s="22" t="inlineStr">
        <is>
          <t>DARALRAHMA MEDICAL CENTER</t>
        </is>
      </c>
    </row>
    <row r="4611">
      <c r="B4611" s="22" t="inlineStr">
        <is>
          <t>Noor Al Hayat (Group)</t>
        </is>
      </c>
    </row>
    <row r="4612">
      <c r="B4612" s="22" t="inlineStr">
        <is>
          <t>LAMA BEAUTY CLINIC &amp; SPA - SOLE PROPRIETORSHIP L. L. C.</t>
        </is>
      </c>
    </row>
    <row r="4613">
      <c r="B4613" s="22" t="inlineStr">
        <is>
          <t>PUBLIC HEALTH PHARMACY L.L.C.</t>
        </is>
      </c>
    </row>
    <row r="4614">
      <c r="B4614" s="22" t="inlineStr">
        <is>
          <t>DR.SAMIHA ABDALLA LUTFI MEDICAL CENTER</t>
        </is>
      </c>
    </row>
    <row r="4615">
      <c r="B4615" s="22" t="inlineStr">
        <is>
          <t>MELODY MEDICAL CENTER  - SOLE PROPRIETORSHIP L.L.C.</t>
        </is>
      </c>
    </row>
    <row r="4616">
      <c r="B4616" s="22" t="inlineStr">
        <is>
          <t>New Age Clinic Llc</t>
        </is>
      </c>
    </row>
    <row r="4617">
      <c r="B4617" s="22" t="inlineStr">
        <is>
          <t>AL BARZA PHARMACY L.L.C.</t>
        </is>
      </c>
    </row>
  </sheetData>
  <sheetProtection selectLockedCells="1" selectUnlockedCells="0" algorithmName="SHA-512" sheet="1" objects="1" insertRows="1" insertHyperlinks="1" autoFilter="1" scenarios="1" formatColumns="1" deleteColumns="1" insertColumns="1" pivotTables="1" deleteRows="1" formatCells="1" saltValue="bJWkT/VzT7V0AVSjuduoqg==" formatRows="1" sort="1" spinCount="100000" hashValue="tmH8h9lDLMIdnoHxIn0oqnMa86IHggQemAMXVU3zCfui26OcI5KTVZeQozGL0b7TbRv9tyEUgXj+PXZijOn6hg=="/>
  <pageMargins left="0.7" right="0.7" top="0.75" bottom="0.75" header="0.3" footer="0.3"/>
  <pageSetup orientation="portrait"/>
</worksheet>
</file>

<file path=xl/worksheets/sheet4.xml><?xml version="1.0" encoding="utf-8"?>
<worksheet xmlns="http://schemas.openxmlformats.org/spreadsheetml/2006/main">
  <sheetPr codeName="Sheet10">
    <tabColor rgb="FFE8D9BB"/>
    <outlinePr summaryBelow="1" summaryRight="1"/>
    <pageSetUpPr/>
  </sheetPr>
  <dimension ref="A1:H57"/>
  <sheetViews>
    <sheetView showGridLines="0" topLeftCell="C21" zoomScale="85" zoomScaleNormal="85" workbookViewId="0">
      <selection activeCell="F32" sqref="F32"/>
    </sheetView>
  </sheetViews>
  <sheetFormatPr baseColWidth="8" defaultColWidth="9.140625" defaultRowHeight="14.25"/>
  <cols>
    <col width="27.85546875" customWidth="1" style="22" min="1" max="1"/>
    <col width="99.85546875" bestFit="1" customWidth="1" style="22" min="2" max="2"/>
    <col width="67.5703125" bestFit="1" customWidth="1" style="22" min="3" max="3"/>
    <col width="9.140625" customWidth="1" style="22" min="4" max="4"/>
    <col width="26.85546875" customWidth="1" style="22" min="5" max="7"/>
    <col width="14.85546875" customWidth="1" style="22" min="8" max="13"/>
    <col width="9.140625" customWidth="1" style="22" min="14" max="16384"/>
  </cols>
  <sheetData>
    <row r="1">
      <c r="A1" s="141" t="e">
        <v>#VALUE!</v>
      </c>
      <c r="B1" s="142" t="inlineStr">
        <is>
          <t>Abu Dhabi Clinical Costing Data Collection Main Reconciliation Page</t>
        </is>
      </c>
    </row>
    <row r="2" ht="23.25" customHeight="1"/>
    <row r="3"/>
    <row r="4"/>
    <row r="5"/>
    <row r="6" ht="15" customHeight="1">
      <c r="A6" s="137" t="inlineStr">
        <is>
          <t>Step 1 - Annual Financial Statements</t>
        </is>
      </c>
      <c r="C6" s="108" t="inlineStr">
        <is>
          <t>Financial Statement</t>
        </is>
      </c>
    </row>
    <row r="7">
      <c r="A7" s="141" t="inlineStr">
        <is>
          <t>Obtain the final total expenditure as reported in the annual financial statement (AFS) for the Submission Year</t>
        </is>
      </c>
      <c r="C7" s="22" t="inlineStr">
        <is>
          <t>Total expenses as reported in annual financial statements for the financial year</t>
        </is>
      </c>
      <c r="E7" s="43" t="n">
        <v>6453401.98</v>
      </c>
    </row>
    <row r="8" ht="13.5" customHeight="1">
      <c r="E8" s="131" t="n"/>
    </row>
    <row r="9" ht="15" customHeight="1">
      <c r="A9" s="137" t="inlineStr">
        <is>
          <t>Step 2 - General Ledger Expenses</t>
        </is>
      </c>
      <c r="C9" s="108" t="inlineStr">
        <is>
          <t>General Ledger Expenses</t>
        </is>
      </c>
    </row>
    <row r="10">
      <c r="A10" s="141" t="inlineStr">
        <is>
          <t>The General Ledger data provided by the Finance system for costing purposes should reconcile to cell C8.</t>
        </is>
      </c>
      <c r="C10" s="22" t="inlineStr">
        <is>
          <t>Total expenses as reported in general ledger for the financial year</t>
        </is>
      </c>
      <c r="E10" s="43" t="n">
        <v>6453401.98</v>
      </c>
    </row>
    <row r="12">
      <c r="A12" s="143" t="inlineStr">
        <is>
          <t>Reconciliation (Step 1 - Step 2)</t>
        </is>
      </c>
      <c r="C12" s="22" t="inlineStr">
        <is>
          <t>If there is difference between AFS and GL, please list down</t>
        </is>
      </c>
      <c r="E12" s="109">
        <f>E7-E10</f>
        <v/>
      </c>
    </row>
    <row r="13">
      <c r="A13" s="110" t="n"/>
      <c r="B13" s="110" t="n"/>
      <c r="C13" s="19" t="n"/>
      <c r="D13" s="19" t="n"/>
      <c r="E13" s="19" t="n"/>
    </row>
    <row r="14">
      <c r="A14" s="110" t="n"/>
      <c r="B14" s="110" t="n"/>
      <c r="C14" s="20" t="n"/>
      <c r="D14" s="20" t="n"/>
      <c r="E14" s="20" t="n"/>
    </row>
    <row r="15">
      <c r="A15" s="110" t="n"/>
      <c r="B15" s="110" t="n"/>
      <c r="C15" s="21" t="n"/>
      <c r="D15" s="21" t="n"/>
      <c r="E15" s="21" t="n"/>
    </row>
    <row r="17" ht="15" customHeight="1">
      <c r="A17" s="137" t="inlineStr">
        <is>
          <t>Step 3 - Adjustments for Costing</t>
        </is>
      </c>
      <c r="C17" s="108" t="inlineStr">
        <is>
          <t>Adjustments made in GL prior to Costing</t>
        </is>
      </c>
    </row>
    <row r="18" ht="14.45" customHeight="1">
      <c r="A18" s="144" t="inlineStr">
        <is>
          <t>Expenses removed or included from the finance GL extract for the purposes of creating a "cost ledger" are to be detailed here to demonstrate the reconciliation to source (in Step 1).</t>
        </is>
      </c>
      <c r="C18" s="22" t="inlineStr">
        <is>
          <t>Step 3.1 - Inclusions (please provide details in Inclusions tab)</t>
        </is>
      </c>
      <c r="E18" s="111">
        <f>'Inclusions - General Ledger'!B4</f>
        <v/>
      </c>
    </row>
    <row r="19" ht="15" customHeight="1">
      <c r="C19" s="22" t="inlineStr">
        <is>
          <t>Step 3.2 - Exclusions (please provide details in Exclusions tab)</t>
        </is>
      </c>
      <c r="E19" s="111">
        <f>'Exclusions - General Ledger'!B4</f>
        <v/>
      </c>
    </row>
    <row r="20" ht="4.5" customHeight="1"/>
    <row r="21" ht="15" customHeight="1">
      <c r="A21" s="137" t="inlineStr">
        <is>
          <t>Step 4. Costing GL</t>
        </is>
      </c>
      <c r="C21" s="108" t="inlineStr">
        <is>
          <t>Total Cost Ledger Expenses post Inclusions and Exclusions</t>
        </is>
      </c>
    </row>
    <row r="22" ht="29.1" customHeight="1">
      <c r="A22" s="145" t="inlineStr">
        <is>
          <t>The Costing GL takes into consideration any adjustments made to the Finance GL (outlined in Step 3). This now shows the expenses to be allocated for costing purposes.</t>
        </is>
      </c>
      <c r="C22" s="112" t="inlineStr">
        <is>
          <t>Total Operating Expenses = Step 2 +3.1-3.2</t>
        </is>
      </c>
      <c r="E22" s="109">
        <f>+E10+E18-E19</f>
        <v/>
      </c>
    </row>
    <row r="24" ht="15" customHeight="1">
      <c r="A24" s="137" t="inlineStr">
        <is>
          <t>Reconciliation = Step 2 - (Step 4 + 3.1 - 3.2)</t>
        </is>
      </c>
      <c r="C24" s="108" t="inlineStr">
        <is>
          <t>Reconciliation of GL to Costing GL (taking into account exclusions and inclusions)</t>
        </is>
      </c>
    </row>
    <row r="25">
      <c r="C25" s="113" t="inlineStr">
        <is>
          <t>If there is a variance between Finance GL and Costing GL please detail below</t>
        </is>
      </c>
      <c r="E25" s="109">
        <f>+E10-(E22+E19-E18)</f>
        <v/>
      </c>
    </row>
    <row r="26">
      <c r="A26" s="140" t="n"/>
      <c r="C26" s="19" t="n"/>
      <c r="D26" s="19" t="n"/>
      <c r="E26" s="19" t="n"/>
    </row>
    <row r="27">
      <c r="A27" s="140" t="n"/>
      <c r="C27" s="20" t="n"/>
      <c r="D27" s="20" t="n"/>
      <c r="E27" s="20" t="n"/>
    </row>
    <row r="28">
      <c r="A28" s="140" t="n"/>
      <c r="C28" s="21" t="n"/>
      <c r="D28" s="21" t="n"/>
      <c r="E28" s="21" t="n"/>
    </row>
    <row r="30" ht="15" customHeight="1">
      <c r="A30" s="137" t="inlineStr">
        <is>
          <t xml:space="preserve">Step 6. </t>
        </is>
      </c>
      <c r="C30" s="108" t="inlineStr">
        <is>
          <t>Total Costed Configuration (Post Cost Allocation)</t>
        </is>
      </c>
    </row>
    <row r="31" ht="14.45" customHeight="1">
      <c r="A31" s="138" t="inlineStr">
        <is>
          <t>This is a summary table where the configuration represents the final costs that has been allocated to patients.
There is no need to populate this step as these columns will self populate.
  Any exclusions/inclusions incorporated prior to submission are to be detailed below in Step 7.</t>
        </is>
      </c>
      <c r="C31" s="114" t="inlineStr">
        <is>
          <t>Total Costs (Current Year)</t>
        </is>
      </c>
      <c r="D31" s="114" t="n"/>
      <c r="E31" s="115" t="inlineStr">
        <is>
          <t>Overhead</t>
        </is>
      </c>
      <c r="F31" s="115" t="inlineStr">
        <is>
          <t>Direct</t>
        </is>
      </c>
    </row>
    <row r="32">
      <c r="E32" s="43" t="n">
        <v>2124656.59</v>
      </c>
      <c r="F32" s="43" t="n">
        <v>4328745.39</v>
      </c>
    </row>
    <row r="33" ht="15" customHeight="1">
      <c r="C33" s="116" t="inlineStr">
        <is>
          <t>Total Costs (Current Year Costed, as per Step 4)</t>
        </is>
      </c>
      <c r="D33" s="117" t="n"/>
      <c r="E33" s="118">
        <f>SUM(E32:E32)</f>
        <v/>
      </c>
      <c r="F33" s="118">
        <f>SUM(F32:F32)</f>
        <v/>
      </c>
    </row>
    <row r="35" ht="15" customHeight="1">
      <c r="A35" s="137" t="inlineStr">
        <is>
          <t xml:space="preserve">Step 7. </t>
        </is>
      </c>
      <c r="C35" s="108" t="inlineStr">
        <is>
          <t>Exclusions and Inclusions (including Work In Progress) that impact the ADCCDC Submission</t>
        </is>
      </c>
      <c r="D35" s="23" t="n"/>
      <c r="E35" s="23" t="n"/>
      <c r="F35" s="23" t="n"/>
    </row>
    <row r="36" ht="15" customHeight="1">
      <c r="A36" s="138" t="inlineStr">
        <is>
          <t>This step details all costs that are excluded and/or included for submission to the ADCCDC collection.</t>
        </is>
      </c>
      <c r="C36" s="114" t="inlineStr">
        <is>
          <t>7.1 Excluded Costs (please detail)</t>
        </is>
      </c>
      <c r="D36" s="114" t="n"/>
      <c r="E36" s="115" t="inlineStr">
        <is>
          <t>Overhead</t>
        </is>
      </c>
      <c r="F36" s="115" t="inlineStr">
        <is>
          <t>Direct</t>
        </is>
      </c>
      <c r="G36" s="119" t="inlineStr">
        <is>
          <t>Total</t>
        </is>
      </c>
    </row>
    <row r="37">
      <c r="C37" s="22" t="inlineStr">
        <is>
          <t>Non Patient Products</t>
        </is>
      </c>
      <c r="E37" s="43" t="n">
        <v>0</v>
      </c>
      <c r="F37" s="43" t="n">
        <v>0</v>
      </c>
      <c r="G37" s="111">
        <f>SUM(E37:F37)</f>
        <v/>
      </c>
    </row>
    <row r="38">
      <c r="C38" s="22" t="inlineStr">
        <is>
          <t>WIP</t>
        </is>
      </c>
      <c r="E38" s="43" t="n">
        <v>0</v>
      </c>
      <c r="F38" s="43" t="n">
        <v>0</v>
      </c>
      <c r="G38" s="111">
        <f>SUM(E38:F38)</f>
        <v/>
      </c>
    </row>
    <row r="39">
      <c r="C39" s="22" t="inlineStr">
        <is>
          <t>Others if any</t>
        </is>
      </c>
      <c r="E39" s="43" t="n">
        <v>0</v>
      </c>
      <c r="F39" s="43" t="n">
        <v>0</v>
      </c>
      <c r="G39" s="111">
        <f>SUM(E39:F39)</f>
        <v/>
      </c>
    </row>
    <row r="40" ht="15" customHeight="1">
      <c r="C40" s="116" t="inlineStr">
        <is>
          <t>Total Excluded Costs</t>
        </is>
      </c>
      <c r="D40" s="117" t="n"/>
      <c r="E40" s="118">
        <f>SUM(E37:E39)</f>
        <v/>
      </c>
      <c r="F40" s="118">
        <f>SUM(F37:F39)</f>
        <v/>
      </c>
      <c r="G40" s="118">
        <f>SUM(G37:G39)</f>
        <v/>
      </c>
    </row>
    <row r="41" ht="6.95" customHeight="1"/>
    <row r="42" ht="15" customHeight="1">
      <c r="C42" s="114" t="inlineStr">
        <is>
          <t>7.2 Additional (or Included) Costs (please detail)</t>
        </is>
      </c>
      <c r="D42" s="114" t="n"/>
      <c r="E42" s="115" t="inlineStr">
        <is>
          <t>Overhead</t>
        </is>
      </c>
      <c r="F42" s="115" t="inlineStr">
        <is>
          <t>Direct</t>
        </is>
      </c>
      <c r="G42" s="119" t="inlineStr">
        <is>
          <t>Total</t>
        </is>
      </c>
    </row>
    <row r="43">
      <c r="A43" s="139" t="inlineStr">
        <is>
          <t>Please report the WIP cost  and any other applicable cost</t>
        </is>
      </c>
      <c r="C43" s="22" t="inlineStr">
        <is>
          <t>WIP</t>
        </is>
      </c>
      <c r="E43" s="43" t="n">
        <v>0</v>
      </c>
      <c r="F43" s="43" t="n">
        <v>0</v>
      </c>
      <c r="G43" s="111" t="n">
        <v>0</v>
      </c>
    </row>
    <row r="44">
      <c r="C44" s="22" t="inlineStr">
        <is>
          <t>Others if any</t>
        </is>
      </c>
      <c r="E44" s="43" t="n">
        <v>0</v>
      </c>
      <c r="F44" s="43" t="n">
        <v>0</v>
      </c>
      <c r="G44" s="111" t="n">
        <v>0</v>
      </c>
    </row>
    <row r="45">
      <c r="C45" s="120" t="inlineStr">
        <is>
          <t>Total Included Costs</t>
        </is>
      </c>
      <c r="D45" s="117" t="n"/>
      <c r="E45" s="118">
        <f>SUM(E43:E44)</f>
        <v/>
      </c>
      <c r="F45" s="118">
        <f>SUM(F43:F44)</f>
        <v/>
      </c>
      <c r="G45" s="118">
        <f>SUM(G43:G44)</f>
        <v/>
      </c>
    </row>
    <row r="47" ht="15" customHeight="1">
      <c r="A47" s="137" t="inlineStr">
        <is>
          <t xml:space="preserve">Step 8. </t>
        </is>
      </c>
      <c r="C47" s="108" t="inlineStr">
        <is>
          <t>Final Submission to ADCCDC</t>
        </is>
      </c>
      <c r="E47" s="115" t="inlineStr">
        <is>
          <t>Overhead</t>
        </is>
      </c>
      <c r="F47" s="115" t="inlineStr">
        <is>
          <t>Direct</t>
        </is>
      </c>
      <c r="G47" s="119" t="inlineStr">
        <is>
          <t>Total</t>
        </is>
      </c>
    </row>
    <row r="48">
      <c r="A48" s="138" t="inlineStr">
        <is>
          <t>This configuration represents the final costs that will be submitted to the ADCCDC collection.</t>
        </is>
      </c>
      <c r="C48" s="113" t="inlineStr">
        <is>
          <t>6.    Total Costs as per Current Year Costed</t>
        </is>
      </c>
      <c r="E48" s="111">
        <f>E33</f>
        <v/>
      </c>
      <c r="F48" s="111">
        <f>F33</f>
        <v/>
      </c>
      <c r="G48" s="111">
        <f>SUM(E48:F48)</f>
        <v/>
      </c>
    </row>
    <row r="49">
      <c r="C49" s="113" t="inlineStr">
        <is>
          <t>7.1. Less Excluded Costs</t>
        </is>
      </c>
      <c r="E49" s="111">
        <f>-E40</f>
        <v/>
      </c>
      <c r="F49" s="111">
        <f>-F40</f>
        <v/>
      </c>
      <c r="G49" s="111">
        <f>SUM(E49:F49)</f>
        <v/>
      </c>
    </row>
    <row r="50">
      <c r="C50" s="113" t="inlineStr">
        <is>
          <t>7.2. Add Included Costs</t>
        </is>
      </c>
      <c r="E50" s="111">
        <f>E45</f>
        <v/>
      </c>
      <c r="F50" s="111">
        <f>F45</f>
        <v/>
      </c>
      <c r="G50" s="111">
        <f>SUM(E50:F50)</f>
        <v/>
      </c>
    </row>
    <row r="51" ht="20.25" customHeight="1">
      <c r="C51" s="116" t="inlineStr">
        <is>
          <t>Total Costs submitted to ADCCDC</t>
        </is>
      </c>
      <c r="D51" s="121" t="n"/>
      <c r="E51" s="122">
        <f>SUM(E48:E50)</f>
        <v/>
      </c>
      <c r="F51" s="122">
        <f>SUM(F48:F50)</f>
        <v/>
      </c>
      <c r="G51" s="122">
        <f>SUM(G48:G50)</f>
        <v/>
      </c>
      <c r="H51" s="123" t="inlineStr">
        <is>
          <t>This should match the total value in your SY2 ADCCDC submission in Shafafiya.</t>
        </is>
      </c>
    </row>
    <row r="52" ht="15" customHeight="1">
      <c r="A52" s="23" t="inlineStr">
        <is>
          <t>Key Notes:</t>
        </is>
      </c>
    </row>
    <row r="53">
      <c r="A53" s="124" t="n"/>
      <c r="B53" s="125" t="inlineStr">
        <is>
          <t>Providers are only allowed to edit these cells</t>
        </is>
      </c>
    </row>
    <row r="55">
      <c r="A55" s="126" t="n"/>
      <c r="B55" s="125" t="inlineStr">
        <is>
          <t>Providers are not allowed to edit these cells</t>
        </is>
      </c>
    </row>
    <row r="57">
      <c r="A57" s="127" t="n"/>
      <c r="B57" s="125" t="inlineStr">
        <is>
          <t>Providers are not allowed to edit these cells</t>
        </is>
      </c>
    </row>
  </sheetData>
  <sheetProtection selectLockedCells="1" selectUnlockedCells="0" algorithmName="SHA-512" sheet="1" objects="1" insertRows="1" insertHyperlinks="1" autoFilter="1" scenarios="1" formatColumns="1" deleteColumns="1" insertColumns="1" pivotTables="1" deleteRows="1" formatCells="1" saltValue="pqK1wYKktHeLFnL4QIU6pw==" formatRows="1" sort="1" spinCount="100000" hashValue="onCWE3pRHo793TVFz+4/WQRgRfons14qy3ANyPUAdtNfhLZv5nRdKCtWqR7HzaGa7S/d6LdZUGL8+cFkYkXJxQ=="/>
  <mergeCells count="22">
    <mergeCell ref="B1:E5"/>
    <mergeCell ref="A43:B45"/>
    <mergeCell ref="A24:B24"/>
    <mergeCell ref="A30:B30"/>
    <mergeCell ref="A31:B33"/>
    <mergeCell ref="A18:B19"/>
    <mergeCell ref="A6:B6"/>
    <mergeCell ref="A7:B7"/>
    <mergeCell ref="A36:B40"/>
    <mergeCell ref="A27:B27"/>
    <mergeCell ref="A12:B12"/>
    <mergeCell ref="A26:B26"/>
    <mergeCell ref="A21:B21"/>
    <mergeCell ref="A47:B47"/>
    <mergeCell ref="A17:B17"/>
    <mergeCell ref="A1:A5"/>
    <mergeCell ref="A48:B51"/>
    <mergeCell ref="A22:B22"/>
    <mergeCell ref="A35:B35"/>
    <mergeCell ref="A10:B10"/>
    <mergeCell ref="A28:B28"/>
    <mergeCell ref="A9:B9"/>
  </mergeCells>
  <pageMargins left="0.7" right="0.7" top="0.75" bottom="0.75" header="0.3" footer="0.3"/>
</worksheet>
</file>

<file path=xl/worksheets/sheet5.xml><?xml version="1.0" encoding="utf-8"?>
<worksheet xmlns="http://schemas.openxmlformats.org/spreadsheetml/2006/main">
  <sheetPr codeName="Sheet5">
    <tabColor rgb="FFE8D9BB"/>
    <outlinePr summaryBelow="1" summaryRight="1"/>
    <pageSetUpPr/>
  </sheetPr>
  <dimension ref="A1:C41"/>
  <sheetViews>
    <sheetView showGridLines="0" zoomScaleNormal="100" workbookViewId="0">
      <selection activeCell="A19" sqref="A19"/>
    </sheetView>
  </sheetViews>
  <sheetFormatPr baseColWidth="8" defaultColWidth="8.85546875" defaultRowHeight="14.25"/>
  <cols>
    <col width="119.5703125" customWidth="1" style="22" min="1" max="1"/>
    <col width="23.85546875" customWidth="1" style="22" min="2" max="2"/>
    <col width="32.140625" customWidth="1" style="22" min="3" max="3"/>
    <col width="8.85546875" customWidth="1" style="22" min="4" max="16384"/>
  </cols>
  <sheetData>
    <row r="1" ht="27.75" customHeight="1">
      <c r="A1" s="47" t="inlineStr">
        <is>
          <t>Abu Dhabi Clinical Costing Data Collection - Inclusions - General Ledger</t>
        </is>
      </c>
      <c r="B1" s="48" t="n"/>
      <c r="C1" s="131" t="e">
        <v>#VALUE!</v>
      </c>
    </row>
    <row r="2" ht="18.75" customHeight="1">
      <c r="A2" s="49" t="inlineStr">
        <is>
          <t xml:space="preserve">1. Example Inclusions are provided for guidance purposes only. </t>
        </is>
      </c>
      <c r="B2" s="50" t="n"/>
    </row>
    <row r="3" ht="18.75" customHeight="1">
      <c r="A3" s="49" t="inlineStr">
        <is>
          <t>2. Amend or add lines as required</t>
        </is>
      </c>
      <c r="B3" s="50" t="n"/>
    </row>
    <row r="4" ht="15" customFormat="1" customHeight="1" s="53">
      <c r="A4" s="51" t="inlineStr">
        <is>
          <t>Control Total</t>
        </is>
      </c>
      <c r="B4" s="52">
        <f>SUM(Inclusions[Amount])</f>
        <v/>
      </c>
    </row>
    <row r="5" ht="42.75" customHeight="1" thickBot="1">
      <c r="A5" s="54" t="inlineStr">
        <is>
          <t>Included</t>
        </is>
      </c>
      <c r="B5" s="54" t="inlineStr">
        <is>
          <t>Amount</t>
        </is>
      </c>
      <c r="C5" s="131" t="inlineStr">
        <is>
          <t>Details</t>
        </is>
      </c>
    </row>
    <row r="6">
      <c r="A6" s="5" t="inlineStr">
        <is>
          <t xml:space="preserve">Third Party Expenses - Central corporate office /shared services </t>
        </is>
      </c>
      <c r="B6" s="44" t="n">
        <v>0</v>
      </c>
      <c r="C6" s="1" t="n"/>
    </row>
    <row r="7">
      <c r="A7" s="5" t="inlineStr">
        <is>
          <t>Offsets and Recoveries</t>
        </is>
      </c>
      <c r="B7" s="44" t="n">
        <v>0</v>
      </c>
      <c r="C7" s="1" t="n"/>
    </row>
    <row r="8">
      <c r="A8" s="5" t="inlineStr">
        <is>
          <t>Prior Year Adjustments</t>
        </is>
      </c>
      <c r="B8" s="44" t="n">
        <v>0</v>
      </c>
      <c r="C8" s="1" t="n"/>
    </row>
    <row r="9">
      <c r="A9" s="6" t="inlineStr">
        <is>
          <t>Shared Service</t>
        </is>
      </c>
      <c r="B9" s="44" t="n">
        <v>0</v>
      </c>
      <c r="C9" s="1" t="n"/>
    </row>
    <row r="10">
      <c r="A10" s="6" t="inlineStr">
        <is>
          <t>Outsourced Services</t>
        </is>
      </c>
      <c r="B10" s="44" t="n">
        <v>0</v>
      </c>
      <c r="C10" s="1" t="n"/>
    </row>
    <row r="11">
      <c r="A11" s="7" t="inlineStr">
        <is>
          <t>Temp staff/invoices/contracted staff</t>
        </is>
      </c>
      <c r="B11" s="44" t="n">
        <v>0</v>
      </c>
      <c r="C11" s="1" t="n"/>
    </row>
    <row r="12">
      <c r="A12" s="7" t="inlineStr">
        <is>
          <t>Insurance for staff (health and life etc.)</t>
        </is>
      </c>
      <c r="B12" s="44" t="n">
        <v>0</v>
      </c>
      <c r="C12" s="1" t="n"/>
    </row>
    <row r="13">
      <c r="A13" s="7" t="inlineStr">
        <is>
          <t>Training (ONLY for patient SLR delivery) - if not recorded in GL already</t>
        </is>
      </c>
      <c r="B13" s="44" t="n">
        <v>0</v>
      </c>
      <c r="C13" s="1" t="n"/>
    </row>
    <row r="14">
      <c r="A14" s="7" t="inlineStr">
        <is>
          <t>Adjustments and Offsets (e.g. error corrections, recoveries, secondments)</t>
        </is>
      </c>
      <c r="B14" s="44" t="n">
        <v>0</v>
      </c>
      <c r="C14" s="1" t="n"/>
    </row>
    <row r="15">
      <c r="A15" s="5" t="n"/>
      <c r="B15" s="44" t="n"/>
      <c r="C15" s="1" t="n"/>
    </row>
    <row r="16">
      <c r="A16" s="5" t="n"/>
      <c r="B16" s="44" t="n"/>
      <c r="C16" s="1" t="n"/>
    </row>
    <row r="17">
      <c r="A17" s="5" t="n"/>
      <c r="B17" s="44" t="n"/>
      <c r="C17" s="1" t="n"/>
    </row>
    <row r="18">
      <c r="A18" s="5" t="n"/>
      <c r="B18" s="44" t="n"/>
      <c r="C18" s="1" t="n"/>
    </row>
    <row r="19">
      <c r="A19" s="5" t="n"/>
      <c r="B19" s="44" t="n"/>
      <c r="C19" s="1" t="n"/>
    </row>
    <row r="20">
      <c r="A20" s="5" t="n"/>
      <c r="B20" s="44" t="n"/>
      <c r="C20" s="1" t="n"/>
    </row>
    <row r="21">
      <c r="A21" s="5" t="n"/>
      <c r="B21" s="44" t="n"/>
      <c r="C21" s="1" t="n"/>
    </row>
    <row r="22">
      <c r="A22" s="5" t="n"/>
      <c r="B22" s="44" t="n"/>
      <c r="C22" s="1" t="n"/>
    </row>
    <row r="23">
      <c r="A23" s="5" t="n"/>
      <c r="B23" s="44" t="n"/>
      <c r="C23" s="1" t="n"/>
    </row>
    <row r="24">
      <c r="A24" s="5" t="n"/>
      <c r="B24" s="44" t="n"/>
      <c r="C24" s="1" t="n"/>
    </row>
    <row r="25">
      <c r="A25" s="5" t="n"/>
      <c r="B25" s="44" t="n"/>
      <c r="C25" s="1" t="n"/>
    </row>
    <row r="26">
      <c r="A26" s="5" t="n"/>
      <c r="B26" s="44" t="n"/>
      <c r="C26" s="1" t="n"/>
    </row>
    <row r="27">
      <c r="A27" s="5" t="n"/>
      <c r="B27" s="44" t="n"/>
      <c r="C27" s="1" t="n"/>
    </row>
    <row r="28">
      <c r="A28" s="5" t="n"/>
      <c r="B28" s="44" t="n"/>
      <c r="C28" s="1" t="n"/>
    </row>
    <row r="29">
      <c r="A29" s="5" t="n"/>
      <c r="B29" s="44" t="n"/>
      <c r="C29" s="1" t="n"/>
    </row>
    <row r="30">
      <c r="A30" s="5" t="n"/>
      <c r="B30" s="44" t="n"/>
      <c r="C30" s="1" t="n"/>
    </row>
    <row r="31">
      <c r="A31" s="5" t="n"/>
      <c r="B31" s="44" t="n"/>
      <c r="C31" s="1" t="n"/>
    </row>
    <row r="32">
      <c r="A32" s="5" t="n"/>
      <c r="B32" s="44" t="n"/>
      <c r="C32" s="1" t="n"/>
    </row>
    <row r="33">
      <c r="A33" s="6" t="n"/>
      <c r="B33" s="44" t="n"/>
      <c r="C33" s="1" t="n"/>
    </row>
    <row r="34">
      <c r="A34" s="6" t="n"/>
      <c r="B34" s="44" t="n"/>
      <c r="C34" s="1" t="n"/>
    </row>
    <row r="35">
      <c r="A35" s="7" t="n"/>
      <c r="B35" s="44" t="n"/>
      <c r="C35" s="1" t="n"/>
    </row>
    <row r="36">
      <c r="A36" s="7" t="n"/>
      <c r="B36" s="44" t="n"/>
      <c r="C36" s="1" t="n"/>
    </row>
    <row r="37">
      <c r="A37" s="7" t="n"/>
      <c r="B37" s="44" t="n"/>
      <c r="C37" s="1" t="n"/>
    </row>
    <row r="38">
      <c r="A38" s="7" t="n"/>
      <c r="B38" s="44" t="n"/>
      <c r="C38" s="1" t="n"/>
    </row>
    <row r="41">
      <c r="A41" s="55" t="n"/>
    </row>
  </sheetData>
  <sheetProtection selectLockedCells="1" selectUnlockedCells="0" algorithmName="SHA-512" sheet="1" objects="1" insertRows="1" insertHyperlinks="1" autoFilter="1" scenarios="1" formatColumns="1" deleteColumns="1" insertColumns="1" pivotTables="1" deleteRows="1" formatCells="1" saltValue="u7rCtzvGa6Joxl6YCQzClQ==" formatRows="1" sort="1" spinCount="100000" hashValue="0FY9SfbGuSMhsJ5mNr2/xV5D4UV4B8pjGV1XnrvmKJFIxnXKJVQokRiA1V6M98fyMu7FN91eprAo+QNwmp9N2g=="/>
  <mergeCells count="1">
    <mergeCell ref="C1:C4"/>
  </mergeCells>
  <pageMargins left="0.7" right="0.7" top="0.75" bottom="0.75" header="0.3" footer="0.3"/>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codeName="Sheet8">
    <tabColor rgb="FFE8D9BB"/>
    <outlinePr summaryBelow="1" summaryRight="1"/>
    <pageSetUpPr/>
  </sheetPr>
  <dimension ref="A1:C44"/>
  <sheetViews>
    <sheetView showGridLines="0" tabSelected="1" zoomScaleNormal="100" workbookViewId="0">
      <selection activeCell="A26" sqref="A26"/>
    </sheetView>
  </sheetViews>
  <sheetFormatPr baseColWidth="8" defaultColWidth="8.85546875" defaultRowHeight="14.25"/>
  <cols>
    <col width="123" customWidth="1" style="22" min="1" max="1"/>
    <col width="23.7109375" customWidth="1" style="22" min="2" max="2"/>
    <col width="23.28515625" customWidth="1" style="22" min="3" max="3"/>
    <col width="8.85546875" customWidth="1" style="22" min="4" max="16384"/>
  </cols>
  <sheetData>
    <row r="1" ht="27.75" customHeight="1">
      <c r="A1" s="47" t="inlineStr">
        <is>
          <t>Abu Dhabi Clinical Costing Data Collection - Exclusions - General Ledger</t>
        </is>
      </c>
      <c r="B1" s="48" t="n"/>
      <c r="C1" s="131" t="e">
        <v>#VALUE!</v>
      </c>
    </row>
    <row r="2" ht="18.75" customHeight="1">
      <c r="A2" s="49" t="inlineStr">
        <is>
          <t xml:space="preserve">1. Example Exclusions are provided for guidance purposes only. </t>
        </is>
      </c>
      <c r="B2" s="50" t="n"/>
    </row>
    <row r="3" ht="18.75" customHeight="1">
      <c r="A3" s="49" t="inlineStr">
        <is>
          <t>2. Amend or add lines as required</t>
        </is>
      </c>
      <c r="B3" s="50" t="n"/>
    </row>
    <row r="4" ht="18.75" customHeight="1">
      <c r="A4" s="51" t="inlineStr">
        <is>
          <t>Control Total</t>
        </is>
      </c>
      <c r="B4" s="56">
        <f>SUM(Exclusions[Amount])</f>
        <v/>
      </c>
    </row>
    <row r="5" ht="42.6" customHeight="1" thickBot="1">
      <c r="A5" s="42" t="inlineStr">
        <is>
          <t>Excluded</t>
        </is>
      </c>
      <c r="B5" s="42" t="inlineStr">
        <is>
          <t>Amount</t>
        </is>
      </c>
      <c r="C5" s="42" t="inlineStr">
        <is>
          <t>Details</t>
        </is>
      </c>
    </row>
    <row r="6">
      <c r="A6" s="8" t="inlineStr">
        <is>
          <t>Bad Debts</t>
        </is>
      </c>
      <c r="B6" s="44" t="n">
        <v>0</v>
      </c>
      <c r="C6" s="1" t="n"/>
    </row>
    <row r="7">
      <c r="A7" s="9" t="inlineStr">
        <is>
          <t>Offsets / Recoveries</t>
        </is>
      </c>
      <c r="B7" s="44" t="n">
        <v>0</v>
      </c>
      <c r="C7" s="1" t="n"/>
    </row>
    <row r="8">
      <c r="A8" s="9" t="inlineStr">
        <is>
          <t>Prior Year Adjustments</t>
        </is>
      </c>
      <c r="B8" s="44" t="n">
        <v>0</v>
      </c>
      <c r="C8" s="1" t="n"/>
    </row>
    <row r="9">
      <c r="A9" s="9" t="inlineStr">
        <is>
          <t>Cost of Raising Capital</t>
        </is>
      </c>
      <c r="B9" s="44" t="n">
        <v>0</v>
      </c>
      <c r="C9" s="1" t="n"/>
    </row>
    <row r="10">
      <c r="A10" s="9" t="inlineStr">
        <is>
          <t>Dividends</t>
        </is>
      </c>
      <c r="B10" s="44" t="n">
        <v>0</v>
      </c>
      <c r="C10" s="1" t="n"/>
    </row>
    <row r="11">
      <c r="A11" s="9" t="inlineStr">
        <is>
          <t>Volume Discounts</t>
        </is>
      </c>
      <c r="B11" s="44" t="n">
        <v>0</v>
      </c>
      <c r="C11" s="1" t="n"/>
    </row>
    <row r="12">
      <c r="A12" s="9" t="inlineStr">
        <is>
          <t>Donations</t>
        </is>
      </c>
      <c r="B12" s="44" t="n">
        <v>0</v>
      </c>
      <c r="C12" s="1" t="n"/>
    </row>
    <row r="13">
      <c r="A13" s="8" t="inlineStr">
        <is>
          <t>Research</t>
        </is>
      </c>
      <c r="B13" s="44" t="n">
        <v>0</v>
      </c>
      <c r="C13" s="1" t="n"/>
    </row>
    <row r="14">
      <c r="A14" s="11" t="inlineStr">
        <is>
          <t>Education and Training</t>
        </is>
      </c>
      <c r="B14" s="44" t="n">
        <v>0</v>
      </c>
      <c r="C14" s="1" t="n"/>
    </row>
    <row r="15">
      <c r="A15" s="15" t="n"/>
      <c r="B15" s="44" t="n"/>
      <c r="C15" s="1" t="n"/>
    </row>
    <row r="16">
      <c r="A16" s="15" t="n"/>
      <c r="B16" s="44" t="n"/>
      <c r="C16" s="1" t="n"/>
    </row>
    <row r="17">
      <c r="A17" s="15" t="n"/>
      <c r="B17" s="44" t="n"/>
      <c r="C17" s="1" t="n"/>
    </row>
    <row r="18">
      <c r="A18" s="15" t="n"/>
      <c r="B18" s="44" t="n"/>
      <c r="C18" s="1" t="n"/>
    </row>
    <row r="19">
      <c r="A19" s="15" t="n"/>
      <c r="B19" s="44" t="n"/>
      <c r="C19" s="1" t="n"/>
    </row>
    <row r="20">
      <c r="A20" s="15" t="n"/>
      <c r="B20" s="44" t="n"/>
      <c r="C20" s="1" t="n"/>
    </row>
    <row r="21">
      <c r="A21" s="15" t="n"/>
      <c r="B21" s="44" t="n"/>
      <c r="C21" s="1" t="n"/>
    </row>
    <row r="22">
      <c r="A22" s="15" t="n"/>
      <c r="B22" s="44" t="n"/>
      <c r="C22" s="1" t="n"/>
    </row>
    <row r="23">
      <c r="A23" s="15" t="n"/>
      <c r="B23" s="44" t="n"/>
      <c r="C23" s="1" t="n"/>
    </row>
    <row r="24">
      <c r="A24" s="15" t="n"/>
      <c r="B24" s="44" t="n"/>
      <c r="C24" s="1" t="n"/>
    </row>
    <row r="25">
      <c r="A25" s="15" t="n"/>
      <c r="B25" s="44" t="n"/>
      <c r="C25" s="1" t="n"/>
    </row>
    <row r="26">
      <c r="A26" s="15" t="n"/>
      <c r="B26" s="44" t="n"/>
      <c r="C26" s="1" t="n"/>
    </row>
    <row r="27">
      <c r="A27" s="15" t="n"/>
      <c r="B27" s="44" t="n"/>
      <c r="C27" s="1" t="n"/>
    </row>
    <row r="28">
      <c r="A28" s="16" t="n"/>
      <c r="B28" s="44" t="n"/>
      <c r="C28" s="1" t="n"/>
    </row>
    <row r="29">
      <c r="A29" s="16" t="n"/>
      <c r="B29" s="44" t="n"/>
      <c r="C29" s="1" t="n"/>
    </row>
    <row r="30">
      <c r="A30" s="16" t="n"/>
      <c r="B30" s="44" t="n"/>
      <c r="C30" s="1" t="n"/>
    </row>
    <row r="31">
      <c r="A31" s="16" t="n"/>
      <c r="B31" s="44" t="n"/>
      <c r="C31" s="1" t="n"/>
    </row>
    <row r="32">
      <c r="A32" s="16" t="n"/>
      <c r="B32" s="44" t="n"/>
      <c r="C32" s="1" t="n"/>
    </row>
    <row r="33">
      <c r="A33" s="16" t="n"/>
      <c r="B33" s="44" t="n"/>
      <c r="C33" s="1" t="n"/>
    </row>
    <row r="34">
      <c r="A34" s="16" t="n"/>
      <c r="B34" s="44" t="n"/>
      <c r="C34" s="1" t="n"/>
    </row>
    <row r="35">
      <c r="A35" s="9" t="n"/>
      <c r="B35" s="44" t="n"/>
      <c r="C35" s="1" t="n"/>
    </row>
    <row r="36">
      <c r="A36" s="9" t="n"/>
      <c r="B36" s="44" t="n"/>
      <c r="C36" s="1" t="n"/>
    </row>
    <row r="37">
      <c r="A37" s="9" t="n"/>
      <c r="B37" s="44" t="n"/>
      <c r="C37" s="1" t="n"/>
    </row>
    <row r="38">
      <c r="A38" s="9" t="n"/>
      <c r="B38" s="44" t="n"/>
      <c r="C38" s="1" t="n"/>
    </row>
    <row r="39">
      <c r="A39" s="9" t="n"/>
      <c r="B39" s="44" t="n"/>
      <c r="C39" s="1" t="n"/>
    </row>
    <row r="40">
      <c r="A40" s="9" t="n"/>
      <c r="B40" s="44" t="n"/>
      <c r="C40" s="1" t="n"/>
    </row>
    <row r="41">
      <c r="A41" s="8" t="n"/>
      <c r="B41" s="44" t="n"/>
      <c r="C41" s="1" t="n"/>
    </row>
    <row r="42">
      <c r="A42" s="11" t="n"/>
      <c r="B42" s="44" t="n"/>
      <c r="C42" s="1" t="n"/>
    </row>
    <row r="44">
      <c r="A44" s="55" t="n"/>
    </row>
  </sheetData>
  <sheetProtection selectLockedCells="1" selectUnlockedCells="0" algorithmName="SHA-512" sheet="1" objects="1" insertRows="1" insertHyperlinks="1" autoFilter="1" scenarios="1" formatColumns="1" deleteColumns="1" insertColumns="1" pivotTables="1" deleteRows="1" formatCells="1" saltValue="CnEu55sIYVxf9QeTHYihZw==" formatRows="1" sort="1" spinCount="100000" hashValue="QS47kdMQGNcR7W6NcoXc4rh5nKw5A4EqodpL4DF3eSjJWV6TyGBNpR6oVDnU5GERYsw+esRI6yHS3RJZFGKdHQ=="/>
  <mergeCells count="1">
    <mergeCell ref="C1:C4"/>
  </mergeCells>
  <pageMargins left="0.7" right="0.7" top="0.75" bottom="0.75" header="0.3" footer="0.3"/>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codeName="Sheet7">
    <tabColor rgb="FFE8D9BB"/>
    <outlinePr summaryBelow="1" summaryRight="1"/>
    <pageSetUpPr/>
  </sheetPr>
  <dimension ref="A1:G111"/>
  <sheetViews>
    <sheetView showGridLines="0" zoomScale="89" zoomScaleNormal="89" workbookViewId="0">
      <selection activeCell="C7" sqref="C7"/>
    </sheetView>
  </sheetViews>
  <sheetFormatPr baseColWidth="8" defaultColWidth="15.7109375" defaultRowHeight="14.25"/>
  <cols>
    <col width="82.42578125" customWidth="1" style="22" min="1" max="1"/>
    <col width="45.7109375" customWidth="1" style="22" min="2" max="2"/>
    <col width="27.85546875" customWidth="1" style="22" min="3" max="3"/>
    <col width="21" customWidth="1" style="22" min="4" max="7"/>
    <col width="15.7109375" customWidth="1" style="22" min="8" max="16384"/>
  </cols>
  <sheetData>
    <row r="1" ht="41.65" customHeight="1">
      <c r="A1" s="132" t="inlineStr">
        <is>
          <t>Abu Dhabi Clinical Costing Data Collection - Facility Level Encounter and Costing Details</t>
        </is>
      </c>
      <c r="D1" s="46" t="n"/>
      <c r="E1" s="57" t="n"/>
      <c r="F1" s="25" t="n"/>
      <c r="G1" s="131" t="e">
        <v>#VALUE!</v>
      </c>
    </row>
    <row r="2">
      <c r="A2" s="49" t="inlineStr">
        <is>
          <t xml:space="preserve">1. If you are providing one consolidated reconciliation for the whole group then list down facilities in Column A </t>
        </is>
      </c>
      <c r="B2" s="49" t="n"/>
      <c r="C2" s="58" t="n"/>
      <c r="F2" s="46" t="n"/>
    </row>
    <row r="3">
      <c r="A3" s="49" t="inlineStr">
        <is>
          <t>2. List the encounter types in Column B and enter volumes in Column C</t>
        </is>
      </c>
      <c r="B3" s="49" t="n"/>
      <c r="C3" s="58" t="n"/>
      <c r="F3" s="46" t="n"/>
    </row>
    <row r="4">
      <c r="A4" s="49" t="inlineStr">
        <is>
          <t>3. Provice cost breakdown in Column D and E</t>
        </is>
      </c>
      <c r="B4" s="49" t="n"/>
      <c r="C4" s="58" t="n"/>
      <c r="F4" s="46" t="n"/>
    </row>
    <row r="5" ht="25.9" customHeight="1">
      <c r="B5" s="59" t="n"/>
      <c r="C5" s="148">
        <f>SUM(EncLoaded[Volumes])</f>
        <v/>
      </c>
      <c r="D5" s="148">
        <f>SUM(EncLoaded[Direct Cost])</f>
        <v/>
      </c>
      <c r="E5" s="148">
        <f>SUM(EncLoaded[Overhead Cost])</f>
        <v/>
      </c>
      <c r="F5" s="148">
        <f>SUM(EncLoaded[Total Cost])</f>
        <v/>
      </c>
      <c r="G5" s="148" t="n"/>
    </row>
    <row r="6" ht="45" customHeight="1" thickBot="1">
      <c r="A6" s="42" t="inlineStr">
        <is>
          <t>MF Number &amp; Facility Name</t>
        </is>
      </c>
      <c r="B6" s="61" t="inlineStr">
        <is>
          <t>Encounter Type</t>
        </is>
      </c>
      <c r="C6" s="62" t="inlineStr">
        <is>
          <t>Volumes</t>
        </is>
      </c>
      <c r="D6" s="62" t="inlineStr">
        <is>
          <t>Direct Cost</t>
        </is>
      </c>
      <c r="E6" s="54" t="inlineStr">
        <is>
          <t>Overhead Cost</t>
        </is>
      </c>
      <c r="F6" s="63" t="inlineStr">
        <is>
          <t>Total Cost</t>
        </is>
      </c>
      <c r="G6" s="63" t="inlineStr">
        <is>
          <t>Average Total Cost</t>
        </is>
      </c>
    </row>
    <row r="7">
      <c r="A7" s="149" t="inlineStr">
        <is>
          <t>MF4159 - VISION DENTAL CLINIC L.L.C</t>
        </is>
      </c>
      <c r="B7" s="150" t="inlineStr">
        <is>
          <t>1-No Bed + No Emergency</t>
        </is>
      </c>
      <c r="C7" s="151" t="n">
        <v>9738</v>
      </c>
      <c r="D7" s="151" t="n">
        <v>4328745.39</v>
      </c>
      <c r="E7" s="151" t="n">
        <v>2124656.59</v>
      </c>
      <c r="F7" s="152">
        <f>SUM(EncLoaded[[#This Row],[Direct Cost]:[Overhead Cost]])</f>
        <v/>
      </c>
      <c r="G7" s="152">
        <f>EncLoaded[[#This Row],[Total Cost]]/EncLoaded[[#This Row],[Volumes]]</f>
        <v/>
      </c>
    </row>
    <row r="8">
      <c r="A8" s="149" t="inlineStr">
        <is>
          <t>Select Facility</t>
        </is>
      </c>
      <c r="B8" s="150" t="inlineStr">
        <is>
          <t>Select Encounter Type</t>
        </is>
      </c>
      <c r="C8" s="153" t="n"/>
      <c r="D8" s="153" t="n"/>
      <c r="E8" s="153" t="n"/>
      <c r="F8" s="152">
        <f>SUM(EncLoaded[[#This Row],[Direct Cost]:[Overhead Cost]])</f>
        <v/>
      </c>
      <c r="G8" s="152">
        <f>EncLoaded[[#This Row],[Total Cost]]/EncLoaded[[#This Row],[Volumes]]</f>
        <v/>
      </c>
    </row>
    <row r="9">
      <c r="A9" s="149" t="inlineStr">
        <is>
          <t>Select Facility</t>
        </is>
      </c>
      <c r="B9" s="150" t="inlineStr">
        <is>
          <t>Select Encounter Type</t>
        </is>
      </c>
      <c r="C9" s="153" t="n"/>
      <c r="D9" s="153" t="n"/>
      <c r="E9" s="153" t="n"/>
      <c r="F9" s="152">
        <f>SUM(EncLoaded[[#This Row],[Direct Cost]:[Overhead Cost]])</f>
        <v/>
      </c>
      <c r="G9" s="152">
        <f>EncLoaded[[#This Row],[Total Cost]]/EncLoaded[[#This Row],[Volumes]]</f>
        <v/>
      </c>
    </row>
    <row r="10">
      <c r="A10" s="149" t="inlineStr">
        <is>
          <t>Select Facility</t>
        </is>
      </c>
      <c r="B10" s="150" t="inlineStr">
        <is>
          <t>Select Encounter Type</t>
        </is>
      </c>
      <c r="C10" s="153" t="n"/>
      <c r="D10" s="153" t="n"/>
      <c r="E10" s="153" t="n"/>
      <c r="F10" s="152">
        <f>SUM(EncLoaded[[#This Row],[Direct Cost]:[Overhead Cost]])</f>
        <v/>
      </c>
      <c r="G10" s="152">
        <f>EncLoaded[[#This Row],[Total Cost]]/EncLoaded[[#This Row],[Volumes]]</f>
        <v/>
      </c>
    </row>
    <row r="11">
      <c r="A11" s="149" t="inlineStr">
        <is>
          <t>Select Facility</t>
        </is>
      </c>
      <c r="B11" s="150" t="inlineStr">
        <is>
          <t>Select Encounter Type</t>
        </is>
      </c>
      <c r="C11" s="153" t="n"/>
      <c r="D11" s="153" t="n"/>
      <c r="E11" s="153" t="n"/>
      <c r="F11" s="152">
        <f>SUM(EncLoaded[[#This Row],[Direct Cost]:[Overhead Cost]])</f>
        <v/>
      </c>
      <c r="G11" s="152">
        <f>EncLoaded[[#This Row],[Total Cost]]/EncLoaded[[#This Row],[Volumes]]</f>
        <v/>
      </c>
    </row>
    <row r="12">
      <c r="A12" s="149" t="inlineStr">
        <is>
          <t>Select Facility</t>
        </is>
      </c>
      <c r="B12" s="150" t="inlineStr">
        <is>
          <t>Select Encounter Type</t>
        </is>
      </c>
      <c r="C12" s="153" t="n"/>
      <c r="D12" s="153" t="n"/>
      <c r="E12" s="153" t="n"/>
      <c r="F12" s="152">
        <f>SUM(EncLoaded[[#This Row],[Direct Cost]:[Overhead Cost]])</f>
        <v/>
      </c>
      <c r="G12" s="152">
        <f>EncLoaded[[#This Row],[Total Cost]]/EncLoaded[[#This Row],[Volumes]]</f>
        <v/>
      </c>
    </row>
    <row r="13">
      <c r="A13" s="149" t="inlineStr">
        <is>
          <t>Select Facility</t>
        </is>
      </c>
      <c r="B13" s="150" t="inlineStr">
        <is>
          <t>Select Encounter Type</t>
        </is>
      </c>
      <c r="C13" s="153" t="n"/>
      <c r="D13" s="153" t="n"/>
      <c r="E13" s="153" t="n"/>
      <c r="F13" s="152">
        <f>SUM(EncLoaded[[#This Row],[Direct Cost]:[Overhead Cost]])</f>
        <v/>
      </c>
      <c r="G13" s="152">
        <f>EncLoaded[[#This Row],[Total Cost]]/EncLoaded[[#This Row],[Volumes]]</f>
        <v/>
      </c>
    </row>
    <row r="14">
      <c r="A14" s="149" t="inlineStr">
        <is>
          <t>Select Facility</t>
        </is>
      </c>
      <c r="B14" s="150" t="inlineStr">
        <is>
          <t>Select Encounter Type</t>
        </is>
      </c>
      <c r="C14" s="153" t="n"/>
      <c r="D14" s="153" t="n"/>
      <c r="E14" s="153" t="n"/>
      <c r="F14" s="152">
        <f>SUM(EncLoaded[[#This Row],[Direct Cost]:[Overhead Cost]])</f>
        <v/>
      </c>
      <c r="G14" s="152">
        <f>EncLoaded[[#This Row],[Total Cost]]/EncLoaded[[#This Row],[Volumes]]</f>
        <v/>
      </c>
    </row>
    <row r="15">
      <c r="A15" s="149" t="inlineStr">
        <is>
          <t>Select Facility</t>
        </is>
      </c>
      <c r="B15" s="150" t="inlineStr">
        <is>
          <t>Select Encounter Type</t>
        </is>
      </c>
      <c r="C15" s="153" t="n"/>
      <c r="D15" s="153" t="n"/>
      <c r="E15" s="153" t="n"/>
      <c r="F15" s="152">
        <f>SUM(EncLoaded[[#This Row],[Direct Cost]:[Overhead Cost]])</f>
        <v/>
      </c>
      <c r="G15" s="152">
        <f>EncLoaded[[#This Row],[Total Cost]]/EncLoaded[[#This Row],[Volumes]]</f>
        <v/>
      </c>
    </row>
    <row r="16">
      <c r="A16" s="149" t="inlineStr">
        <is>
          <t>Select Facility</t>
        </is>
      </c>
      <c r="B16" s="150" t="inlineStr">
        <is>
          <t>Select Encounter Type</t>
        </is>
      </c>
      <c r="C16" s="153" t="n"/>
      <c r="D16" s="153" t="n"/>
      <c r="E16" s="153" t="n"/>
      <c r="F16" s="152">
        <f>SUM(EncLoaded[[#This Row],[Direct Cost]:[Overhead Cost]])</f>
        <v/>
      </c>
      <c r="G16" s="152">
        <f>EncLoaded[[#This Row],[Total Cost]]/EncLoaded[[#This Row],[Volumes]]</f>
        <v/>
      </c>
    </row>
    <row r="17">
      <c r="A17" s="149" t="inlineStr">
        <is>
          <t>Select Facility</t>
        </is>
      </c>
      <c r="B17" s="150" t="inlineStr">
        <is>
          <t>Select Encounter Type</t>
        </is>
      </c>
      <c r="C17" s="153" t="n"/>
      <c r="D17" s="153" t="n"/>
      <c r="E17" s="153" t="n"/>
      <c r="F17" s="152">
        <f>SUM(EncLoaded[[#This Row],[Direct Cost]:[Overhead Cost]])</f>
        <v/>
      </c>
      <c r="G17" s="152">
        <f>EncLoaded[[#This Row],[Total Cost]]/EncLoaded[[#This Row],[Volumes]]</f>
        <v/>
      </c>
    </row>
    <row r="18">
      <c r="A18" s="149" t="inlineStr">
        <is>
          <t>Select Facility</t>
        </is>
      </c>
      <c r="B18" s="150" t="inlineStr">
        <is>
          <t>Select Encounter Type</t>
        </is>
      </c>
      <c r="C18" s="153" t="n"/>
      <c r="D18" s="153" t="n"/>
      <c r="E18" s="153" t="n"/>
      <c r="F18" s="152">
        <f>SUM(EncLoaded[[#This Row],[Direct Cost]:[Overhead Cost]])</f>
        <v/>
      </c>
      <c r="G18" s="152">
        <f>EncLoaded[[#This Row],[Total Cost]]/EncLoaded[[#This Row],[Volumes]]</f>
        <v/>
      </c>
    </row>
    <row r="19">
      <c r="A19" s="149" t="inlineStr">
        <is>
          <t>Select Facility</t>
        </is>
      </c>
      <c r="B19" s="150" t="inlineStr">
        <is>
          <t>Select Encounter Type</t>
        </is>
      </c>
      <c r="C19" s="153" t="n"/>
      <c r="D19" s="153" t="n"/>
      <c r="E19" s="153" t="n"/>
      <c r="F19" s="152">
        <f>SUM(EncLoaded[[#This Row],[Direct Cost]:[Overhead Cost]])</f>
        <v/>
      </c>
      <c r="G19" s="152">
        <f>EncLoaded[[#This Row],[Total Cost]]/EncLoaded[[#This Row],[Volumes]]</f>
        <v/>
      </c>
    </row>
    <row r="20">
      <c r="A20" s="149" t="inlineStr">
        <is>
          <t>Select Facility</t>
        </is>
      </c>
      <c r="B20" s="150" t="inlineStr">
        <is>
          <t>Select Encounter Type</t>
        </is>
      </c>
      <c r="C20" s="153" t="n"/>
      <c r="D20" s="153" t="n"/>
      <c r="E20" s="153" t="n"/>
      <c r="F20" s="152">
        <f>SUM(EncLoaded[[#This Row],[Direct Cost]:[Overhead Cost]])</f>
        <v/>
      </c>
      <c r="G20" s="152">
        <f>EncLoaded[[#This Row],[Total Cost]]/EncLoaded[[#This Row],[Volumes]]</f>
        <v/>
      </c>
    </row>
    <row r="21">
      <c r="A21" s="149" t="inlineStr">
        <is>
          <t>Select Facility</t>
        </is>
      </c>
      <c r="B21" s="150" t="inlineStr">
        <is>
          <t>Select Encounter Type</t>
        </is>
      </c>
      <c r="C21" s="153" t="n"/>
      <c r="D21" s="153" t="n"/>
      <c r="E21" s="153" t="n"/>
      <c r="F21" s="152">
        <f>SUM(EncLoaded[[#This Row],[Direct Cost]:[Overhead Cost]])</f>
        <v/>
      </c>
      <c r="G21" s="152">
        <f>EncLoaded[[#This Row],[Total Cost]]/EncLoaded[[#This Row],[Volumes]]</f>
        <v/>
      </c>
    </row>
    <row r="22">
      <c r="A22" s="149" t="inlineStr">
        <is>
          <t>Select Facility</t>
        </is>
      </c>
      <c r="B22" s="150" t="inlineStr">
        <is>
          <t>Select Encounter Type</t>
        </is>
      </c>
      <c r="C22" s="153" t="n"/>
      <c r="D22" s="153" t="n"/>
      <c r="E22" s="153" t="n"/>
      <c r="F22" s="152">
        <f>SUM(EncLoaded[[#This Row],[Direct Cost]:[Overhead Cost]])</f>
        <v/>
      </c>
      <c r="G22" s="152">
        <f>EncLoaded[[#This Row],[Total Cost]]/EncLoaded[[#This Row],[Volumes]]</f>
        <v/>
      </c>
    </row>
    <row r="23">
      <c r="A23" s="149" t="inlineStr">
        <is>
          <t>Select Facility</t>
        </is>
      </c>
      <c r="B23" s="150" t="inlineStr">
        <is>
          <t>Select Encounter Type</t>
        </is>
      </c>
      <c r="C23" s="153" t="n"/>
      <c r="D23" s="153" t="n"/>
      <c r="E23" s="153" t="n"/>
      <c r="F23" s="152">
        <f>SUM(EncLoaded[[#This Row],[Direct Cost]:[Overhead Cost]])</f>
        <v/>
      </c>
      <c r="G23" s="152">
        <f>EncLoaded[[#This Row],[Total Cost]]/EncLoaded[[#This Row],[Volumes]]</f>
        <v/>
      </c>
    </row>
    <row r="24">
      <c r="A24" s="149" t="inlineStr">
        <is>
          <t>Select Facility</t>
        </is>
      </c>
      <c r="B24" s="150" t="inlineStr">
        <is>
          <t>Select Encounter Type</t>
        </is>
      </c>
      <c r="C24" s="153" t="n"/>
      <c r="D24" s="153" t="n"/>
      <c r="E24" s="153" t="n"/>
      <c r="F24" s="152">
        <f>SUM(EncLoaded[[#This Row],[Direct Cost]:[Overhead Cost]])</f>
        <v/>
      </c>
      <c r="G24" s="152">
        <f>EncLoaded[[#This Row],[Total Cost]]/EncLoaded[[#This Row],[Volumes]]</f>
        <v/>
      </c>
    </row>
    <row r="25">
      <c r="A25" s="149" t="inlineStr">
        <is>
          <t>Select Facility</t>
        </is>
      </c>
      <c r="B25" s="150" t="inlineStr">
        <is>
          <t>Select Encounter Type</t>
        </is>
      </c>
      <c r="C25" s="153" t="n"/>
      <c r="D25" s="153" t="n"/>
      <c r="E25" s="153" t="n"/>
      <c r="F25" s="152">
        <f>SUM(EncLoaded[[#This Row],[Direct Cost]:[Overhead Cost]])</f>
        <v/>
      </c>
      <c r="G25" s="152">
        <f>EncLoaded[[#This Row],[Total Cost]]/EncLoaded[[#This Row],[Volumes]]</f>
        <v/>
      </c>
    </row>
    <row r="26">
      <c r="A26" s="149" t="inlineStr">
        <is>
          <t>Select Facility</t>
        </is>
      </c>
      <c r="B26" s="150" t="inlineStr">
        <is>
          <t>Select Encounter Type</t>
        </is>
      </c>
      <c r="C26" s="153" t="n"/>
      <c r="D26" s="153" t="n"/>
      <c r="E26" s="153" t="n"/>
      <c r="F26" s="152">
        <f>SUM(EncLoaded[[#This Row],[Direct Cost]:[Overhead Cost]])</f>
        <v/>
      </c>
      <c r="G26" s="152">
        <f>EncLoaded[[#This Row],[Total Cost]]/EncLoaded[[#This Row],[Volumes]]</f>
        <v/>
      </c>
    </row>
    <row r="27">
      <c r="A27" s="149" t="inlineStr">
        <is>
          <t>Select Facility</t>
        </is>
      </c>
      <c r="B27" s="150" t="inlineStr">
        <is>
          <t>Select Encounter Type</t>
        </is>
      </c>
      <c r="C27" s="153" t="n"/>
      <c r="D27" s="153" t="n"/>
      <c r="E27" s="153" t="n"/>
      <c r="F27" s="152">
        <f>SUM(EncLoaded[[#This Row],[Direct Cost]:[Overhead Cost]])</f>
        <v/>
      </c>
      <c r="G27" s="152">
        <f>EncLoaded[[#This Row],[Total Cost]]/EncLoaded[[#This Row],[Volumes]]</f>
        <v/>
      </c>
    </row>
    <row r="28">
      <c r="A28" s="149" t="inlineStr">
        <is>
          <t>Select Facility</t>
        </is>
      </c>
      <c r="B28" s="150" t="inlineStr">
        <is>
          <t>Select Encounter Type</t>
        </is>
      </c>
      <c r="C28" s="153" t="n"/>
      <c r="D28" s="153" t="n"/>
      <c r="E28" s="153" t="n"/>
      <c r="F28" s="152">
        <f>SUM(EncLoaded[[#This Row],[Direct Cost]:[Overhead Cost]])</f>
        <v/>
      </c>
      <c r="G28" s="152">
        <f>EncLoaded[[#This Row],[Total Cost]]/EncLoaded[[#This Row],[Volumes]]</f>
        <v/>
      </c>
    </row>
    <row r="29">
      <c r="A29" s="149" t="inlineStr">
        <is>
          <t>Select Facility</t>
        </is>
      </c>
      <c r="B29" s="150" t="inlineStr">
        <is>
          <t>Select Encounter Type</t>
        </is>
      </c>
      <c r="C29" s="153" t="n"/>
      <c r="D29" s="153" t="n"/>
      <c r="E29" s="153" t="n"/>
      <c r="F29" s="152">
        <f>SUM(EncLoaded[[#This Row],[Direct Cost]:[Overhead Cost]])</f>
        <v/>
      </c>
      <c r="G29" s="152">
        <f>EncLoaded[[#This Row],[Total Cost]]/EncLoaded[[#This Row],[Volumes]]</f>
        <v/>
      </c>
    </row>
    <row r="30">
      <c r="A30" s="149" t="inlineStr">
        <is>
          <t>Select Facility</t>
        </is>
      </c>
      <c r="B30" s="150" t="inlineStr">
        <is>
          <t>Select Encounter Type</t>
        </is>
      </c>
      <c r="C30" s="153" t="n"/>
      <c r="D30" s="153" t="n"/>
      <c r="E30" s="153" t="n"/>
      <c r="F30" s="152">
        <f>SUM(EncLoaded[[#This Row],[Direct Cost]:[Overhead Cost]])</f>
        <v/>
      </c>
      <c r="G30" s="152">
        <f>EncLoaded[[#This Row],[Total Cost]]/EncLoaded[[#This Row],[Volumes]]</f>
        <v/>
      </c>
    </row>
    <row r="31">
      <c r="A31" s="149" t="inlineStr">
        <is>
          <t>Select Facility</t>
        </is>
      </c>
      <c r="B31" s="150" t="inlineStr">
        <is>
          <t>Select Encounter Type</t>
        </is>
      </c>
      <c r="C31" s="153" t="n"/>
      <c r="D31" s="153" t="n"/>
      <c r="E31" s="153" t="n"/>
      <c r="F31" s="152">
        <f>SUM(EncLoaded[[#This Row],[Direct Cost]:[Overhead Cost]])</f>
        <v/>
      </c>
      <c r="G31" s="152">
        <f>EncLoaded[[#This Row],[Total Cost]]/EncLoaded[[#This Row],[Volumes]]</f>
        <v/>
      </c>
    </row>
    <row r="32">
      <c r="A32" s="149" t="inlineStr">
        <is>
          <t>Select Facility</t>
        </is>
      </c>
      <c r="B32" s="150" t="inlineStr">
        <is>
          <t>Select Encounter Type</t>
        </is>
      </c>
      <c r="C32" s="153" t="n"/>
      <c r="D32" s="153" t="n"/>
      <c r="E32" s="153" t="n"/>
      <c r="F32" s="152">
        <f>SUM(EncLoaded[[#This Row],[Direct Cost]:[Overhead Cost]])</f>
        <v/>
      </c>
      <c r="G32" s="152">
        <f>EncLoaded[[#This Row],[Total Cost]]/EncLoaded[[#This Row],[Volumes]]</f>
        <v/>
      </c>
    </row>
    <row r="33">
      <c r="A33" s="149" t="inlineStr">
        <is>
          <t>Select Facility</t>
        </is>
      </c>
      <c r="B33" s="150" t="inlineStr">
        <is>
          <t>Select Encounter Type</t>
        </is>
      </c>
      <c r="C33" s="153" t="n"/>
      <c r="D33" s="153" t="n"/>
      <c r="E33" s="153" t="n"/>
      <c r="F33" s="152">
        <f>SUM(EncLoaded[[#This Row],[Direct Cost]:[Overhead Cost]])</f>
        <v/>
      </c>
      <c r="G33" s="152">
        <f>EncLoaded[[#This Row],[Total Cost]]/EncLoaded[[#This Row],[Volumes]]</f>
        <v/>
      </c>
    </row>
    <row r="34">
      <c r="A34" s="149" t="inlineStr">
        <is>
          <t>Select Facility</t>
        </is>
      </c>
      <c r="B34" s="150" t="inlineStr">
        <is>
          <t>Select Encounter Type</t>
        </is>
      </c>
      <c r="C34" s="153" t="n"/>
      <c r="D34" s="153" t="n"/>
      <c r="E34" s="153" t="n"/>
      <c r="F34" s="152">
        <f>SUM(EncLoaded[[#This Row],[Direct Cost]:[Overhead Cost]])</f>
        <v/>
      </c>
      <c r="G34" s="152">
        <f>EncLoaded[[#This Row],[Total Cost]]/EncLoaded[[#This Row],[Volumes]]</f>
        <v/>
      </c>
    </row>
    <row r="35">
      <c r="A35" s="149" t="inlineStr">
        <is>
          <t>Select Facility</t>
        </is>
      </c>
      <c r="B35" s="150" t="inlineStr">
        <is>
          <t>Select Encounter Type</t>
        </is>
      </c>
      <c r="C35" s="153" t="n"/>
      <c r="D35" s="153" t="n"/>
      <c r="E35" s="153" t="n"/>
      <c r="F35" s="152">
        <f>SUM(EncLoaded[[#This Row],[Direct Cost]:[Overhead Cost]])</f>
        <v/>
      </c>
      <c r="G35" s="152">
        <f>EncLoaded[[#This Row],[Total Cost]]/EncLoaded[[#This Row],[Volumes]]</f>
        <v/>
      </c>
    </row>
    <row r="36">
      <c r="A36" s="149" t="inlineStr">
        <is>
          <t>Select Facility</t>
        </is>
      </c>
      <c r="B36" s="150" t="inlineStr">
        <is>
          <t>Select Encounter Type</t>
        </is>
      </c>
      <c r="C36" s="153" t="n"/>
      <c r="D36" s="153" t="n"/>
      <c r="E36" s="153" t="n"/>
      <c r="F36" s="152">
        <f>SUM(EncLoaded[[#This Row],[Direct Cost]:[Overhead Cost]])</f>
        <v/>
      </c>
      <c r="G36" s="152">
        <f>EncLoaded[[#This Row],[Total Cost]]/EncLoaded[[#This Row],[Volumes]]</f>
        <v/>
      </c>
    </row>
    <row r="37">
      <c r="A37" s="149" t="inlineStr">
        <is>
          <t>Select Facility</t>
        </is>
      </c>
      <c r="B37" s="150" t="inlineStr">
        <is>
          <t>Select Encounter Type</t>
        </is>
      </c>
      <c r="C37" s="153" t="n"/>
      <c r="D37" s="153" t="n"/>
      <c r="E37" s="153" t="n"/>
      <c r="F37" s="152">
        <f>SUM(EncLoaded[[#This Row],[Direct Cost]:[Overhead Cost]])</f>
        <v/>
      </c>
      <c r="G37" s="152">
        <f>EncLoaded[[#This Row],[Total Cost]]/EncLoaded[[#This Row],[Volumes]]</f>
        <v/>
      </c>
    </row>
    <row r="38">
      <c r="A38" s="149" t="inlineStr">
        <is>
          <t>Select Facility</t>
        </is>
      </c>
      <c r="B38" s="150" t="inlineStr">
        <is>
          <t>Select Encounter Type</t>
        </is>
      </c>
      <c r="C38" s="153" t="n"/>
      <c r="D38" s="153" t="n"/>
      <c r="E38" s="153" t="n"/>
      <c r="F38" s="152">
        <f>SUM(EncLoaded[[#This Row],[Direct Cost]:[Overhead Cost]])</f>
        <v/>
      </c>
      <c r="G38" s="152">
        <f>EncLoaded[[#This Row],[Total Cost]]/EncLoaded[[#This Row],[Volumes]]</f>
        <v/>
      </c>
    </row>
    <row r="39">
      <c r="A39" s="149" t="inlineStr">
        <is>
          <t>Select Facility</t>
        </is>
      </c>
      <c r="B39" s="150" t="inlineStr">
        <is>
          <t>Select Encounter Type</t>
        </is>
      </c>
      <c r="C39" s="153" t="n"/>
      <c r="D39" s="153" t="n"/>
      <c r="E39" s="153" t="n"/>
      <c r="F39" s="152">
        <f>SUM(EncLoaded[[#This Row],[Direct Cost]:[Overhead Cost]])</f>
        <v/>
      </c>
      <c r="G39" s="152">
        <f>EncLoaded[[#This Row],[Total Cost]]/EncLoaded[[#This Row],[Volumes]]</f>
        <v/>
      </c>
    </row>
    <row r="40">
      <c r="A40" s="149" t="inlineStr">
        <is>
          <t>Select Facility</t>
        </is>
      </c>
      <c r="B40" s="150" t="inlineStr">
        <is>
          <t>Select Encounter Type</t>
        </is>
      </c>
      <c r="C40" s="153" t="n"/>
      <c r="D40" s="153" t="n"/>
      <c r="E40" s="153" t="n"/>
      <c r="F40" s="152">
        <f>SUM(EncLoaded[[#This Row],[Direct Cost]:[Overhead Cost]])</f>
        <v/>
      </c>
      <c r="G40" s="152">
        <f>EncLoaded[[#This Row],[Total Cost]]/EncLoaded[[#This Row],[Volumes]]</f>
        <v/>
      </c>
    </row>
    <row r="41">
      <c r="A41" s="149" t="inlineStr">
        <is>
          <t>Select Facility</t>
        </is>
      </c>
      <c r="B41" s="150" t="inlineStr">
        <is>
          <t>Select Encounter Type</t>
        </is>
      </c>
      <c r="C41" s="153" t="n"/>
      <c r="D41" s="153" t="n"/>
      <c r="E41" s="153" t="n"/>
      <c r="F41" s="152">
        <f>SUM(EncLoaded[[#This Row],[Direct Cost]:[Overhead Cost]])</f>
        <v/>
      </c>
      <c r="G41" s="152">
        <f>EncLoaded[[#This Row],[Total Cost]]/EncLoaded[[#This Row],[Volumes]]</f>
        <v/>
      </c>
    </row>
    <row r="42">
      <c r="A42" s="149" t="inlineStr">
        <is>
          <t>Select Facility</t>
        </is>
      </c>
      <c r="B42" s="150" t="inlineStr">
        <is>
          <t>Select Encounter Type</t>
        </is>
      </c>
      <c r="C42" s="153" t="n"/>
      <c r="D42" s="153" t="n"/>
      <c r="E42" s="153" t="n"/>
      <c r="F42" s="152">
        <f>SUM(EncLoaded[[#This Row],[Direct Cost]:[Overhead Cost]])</f>
        <v/>
      </c>
      <c r="G42" s="152">
        <f>EncLoaded[[#This Row],[Total Cost]]/EncLoaded[[#This Row],[Volumes]]</f>
        <v/>
      </c>
    </row>
    <row r="43">
      <c r="A43" s="149" t="inlineStr">
        <is>
          <t>Select Facility</t>
        </is>
      </c>
      <c r="B43" s="150" t="inlineStr">
        <is>
          <t>Select Encounter Type</t>
        </is>
      </c>
      <c r="C43" s="153" t="n"/>
      <c r="D43" s="153" t="n"/>
      <c r="E43" s="153" t="n"/>
      <c r="F43" s="152">
        <f>SUM(EncLoaded[[#This Row],[Direct Cost]:[Overhead Cost]])</f>
        <v/>
      </c>
      <c r="G43" s="152">
        <f>EncLoaded[[#This Row],[Total Cost]]/EncLoaded[[#This Row],[Volumes]]</f>
        <v/>
      </c>
    </row>
    <row r="44">
      <c r="A44" s="149" t="inlineStr">
        <is>
          <t>Select Facility</t>
        </is>
      </c>
      <c r="B44" s="150" t="inlineStr">
        <is>
          <t>Select Encounter Type</t>
        </is>
      </c>
      <c r="C44" s="153" t="n"/>
      <c r="D44" s="153" t="n"/>
      <c r="E44" s="153" t="n"/>
      <c r="F44" s="152">
        <f>SUM(EncLoaded[[#This Row],[Direct Cost]:[Overhead Cost]])</f>
        <v/>
      </c>
      <c r="G44" s="152">
        <f>EncLoaded[[#This Row],[Total Cost]]/EncLoaded[[#This Row],[Volumes]]</f>
        <v/>
      </c>
    </row>
    <row r="45">
      <c r="A45" s="149" t="inlineStr">
        <is>
          <t>Select Facility</t>
        </is>
      </c>
      <c r="B45" s="150" t="inlineStr">
        <is>
          <t>Select Encounter Type</t>
        </is>
      </c>
      <c r="C45" s="153" t="n"/>
      <c r="D45" s="153" t="n"/>
      <c r="E45" s="153" t="n"/>
      <c r="F45" s="152">
        <f>SUM(EncLoaded[[#This Row],[Direct Cost]:[Overhead Cost]])</f>
        <v/>
      </c>
      <c r="G45" s="152">
        <f>EncLoaded[[#This Row],[Total Cost]]/EncLoaded[[#This Row],[Volumes]]</f>
        <v/>
      </c>
    </row>
    <row r="46">
      <c r="A46" s="149" t="inlineStr">
        <is>
          <t>Select Facility</t>
        </is>
      </c>
      <c r="B46" s="150" t="inlineStr">
        <is>
          <t>Select Encounter Type</t>
        </is>
      </c>
      <c r="C46" s="153" t="n"/>
      <c r="D46" s="153" t="n"/>
      <c r="E46" s="153" t="n"/>
      <c r="F46" s="152">
        <f>SUM(EncLoaded[[#This Row],[Direct Cost]:[Overhead Cost]])</f>
        <v/>
      </c>
      <c r="G46" s="152">
        <f>EncLoaded[[#This Row],[Total Cost]]/EncLoaded[[#This Row],[Volumes]]</f>
        <v/>
      </c>
    </row>
    <row r="47">
      <c r="A47" s="149" t="inlineStr">
        <is>
          <t>Select Facility</t>
        </is>
      </c>
      <c r="B47" s="150" t="inlineStr">
        <is>
          <t>Select Encounter Type</t>
        </is>
      </c>
      <c r="C47" s="153" t="n"/>
      <c r="D47" s="153" t="n"/>
      <c r="E47" s="153" t="n"/>
      <c r="F47" s="152">
        <f>SUM(EncLoaded[[#This Row],[Direct Cost]:[Overhead Cost]])</f>
        <v/>
      </c>
      <c r="G47" s="152">
        <f>EncLoaded[[#This Row],[Total Cost]]/EncLoaded[[#This Row],[Volumes]]</f>
        <v/>
      </c>
    </row>
    <row r="48">
      <c r="A48" s="149" t="inlineStr">
        <is>
          <t>Select Facility</t>
        </is>
      </c>
      <c r="B48" s="150" t="inlineStr">
        <is>
          <t>Select Encounter Type</t>
        </is>
      </c>
      <c r="C48" s="153" t="n"/>
      <c r="D48" s="153" t="n"/>
      <c r="E48" s="153" t="n"/>
      <c r="F48" s="152">
        <f>SUM(EncLoaded[[#This Row],[Direct Cost]:[Overhead Cost]])</f>
        <v/>
      </c>
      <c r="G48" s="152">
        <f>EncLoaded[[#This Row],[Total Cost]]/EncLoaded[[#This Row],[Volumes]]</f>
        <v/>
      </c>
    </row>
    <row r="49">
      <c r="A49" s="149" t="inlineStr">
        <is>
          <t>Select Facility</t>
        </is>
      </c>
      <c r="B49" s="150" t="inlineStr">
        <is>
          <t>Select Encounter Type</t>
        </is>
      </c>
      <c r="C49" s="153" t="n"/>
      <c r="D49" s="153" t="n"/>
      <c r="E49" s="153" t="n"/>
      <c r="F49" s="152">
        <f>SUM(EncLoaded[[#This Row],[Direct Cost]:[Overhead Cost]])</f>
        <v/>
      </c>
      <c r="G49" s="152">
        <f>EncLoaded[[#This Row],[Total Cost]]/EncLoaded[[#This Row],[Volumes]]</f>
        <v/>
      </c>
    </row>
    <row r="50">
      <c r="A50" s="149" t="inlineStr">
        <is>
          <t>Select Facility</t>
        </is>
      </c>
      <c r="B50" s="150" t="inlineStr">
        <is>
          <t>Select Encounter Type</t>
        </is>
      </c>
      <c r="C50" s="153" t="n"/>
      <c r="D50" s="153" t="n"/>
      <c r="E50" s="153" t="n"/>
      <c r="F50" s="152">
        <f>SUM(EncLoaded[[#This Row],[Direct Cost]:[Overhead Cost]])</f>
        <v/>
      </c>
      <c r="G50" s="152">
        <f>EncLoaded[[#This Row],[Total Cost]]/EncLoaded[[#This Row],[Volumes]]</f>
        <v/>
      </c>
    </row>
    <row r="51">
      <c r="A51" s="149" t="inlineStr">
        <is>
          <t>Select Facility</t>
        </is>
      </c>
      <c r="B51" s="150" t="inlineStr">
        <is>
          <t>Select Encounter Type</t>
        </is>
      </c>
      <c r="C51" s="153" t="n"/>
      <c r="D51" s="153" t="n"/>
      <c r="E51" s="153" t="n"/>
      <c r="F51" s="152">
        <f>SUM(EncLoaded[[#This Row],[Direct Cost]:[Overhead Cost]])</f>
        <v/>
      </c>
      <c r="G51" s="152">
        <f>EncLoaded[[#This Row],[Total Cost]]/EncLoaded[[#This Row],[Volumes]]</f>
        <v/>
      </c>
    </row>
    <row r="52">
      <c r="A52" s="149" t="inlineStr">
        <is>
          <t>Select Facility</t>
        </is>
      </c>
      <c r="B52" s="150" t="inlineStr">
        <is>
          <t>Select Encounter Type</t>
        </is>
      </c>
      <c r="C52" s="153" t="n"/>
      <c r="D52" s="153" t="n"/>
      <c r="E52" s="153" t="n"/>
      <c r="F52" s="152">
        <f>SUM(EncLoaded[[#This Row],[Direct Cost]:[Overhead Cost]])</f>
        <v/>
      </c>
      <c r="G52" s="152">
        <f>EncLoaded[[#This Row],[Total Cost]]/EncLoaded[[#This Row],[Volumes]]</f>
        <v/>
      </c>
    </row>
    <row r="53">
      <c r="A53" s="149" t="inlineStr">
        <is>
          <t>Select Facility</t>
        </is>
      </c>
      <c r="B53" s="150" t="inlineStr">
        <is>
          <t>Select Encounter Type</t>
        </is>
      </c>
      <c r="C53" s="153" t="n"/>
      <c r="D53" s="153" t="n"/>
      <c r="E53" s="153" t="n"/>
      <c r="F53" s="152">
        <f>SUM(EncLoaded[[#This Row],[Direct Cost]:[Overhead Cost]])</f>
        <v/>
      </c>
      <c r="G53" s="152">
        <f>EncLoaded[[#This Row],[Total Cost]]/EncLoaded[[#This Row],[Volumes]]</f>
        <v/>
      </c>
    </row>
    <row r="54">
      <c r="A54" s="149" t="inlineStr">
        <is>
          <t>Select Facility</t>
        </is>
      </c>
      <c r="B54" s="150" t="inlineStr">
        <is>
          <t>Select Encounter Type</t>
        </is>
      </c>
      <c r="C54" s="153" t="n"/>
      <c r="D54" s="153" t="n"/>
      <c r="E54" s="153" t="n"/>
      <c r="F54" s="152">
        <f>SUM(EncLoaded[[#This Row],[Direct Cost]:[Overhead Cost]])</f>
        <v/>
      </c>
      <c r="G54" s="152">
        <f>EncLoaded[[#This Row],[Total Cost]]/EncLoaded[[#This Row],[Volumes]]</f>
        <v/>
      </c>
    </row>
    <row r="55">
      <c r="A55" s="149" t="inlineStr">
        <is>
          <t>Select Facility</t>
        </is>
      </c>
      <c r="B55" s="150" t="inlineStr">
        <is>
          <t>Select Encounter Type</t>
        </is>
      </c>
      <c r="C55" s="153" t="n"/>
      <c r="D55" s="153" t="n"/>
      <c r="E55" s="153" t="n"/>
      <c r="F55" s="152">
        <f>SUM(EncLoaded[[#This Row],[Direct Cost]:[Overhead Cost]])</f>
        <v/>
      </c>
      <c r="G55" s="152">
        <f>EncLoaded[[#This Row],[Total Cost]]/EncLoaded[[#This Row],[Volumes]]</f>
        <v/>
      </c>
    </row>
    <row r="56">
      <c r="A56" s="149" t="inlineStr">
        <is>
          <t>Select Facility</t>
        </is>
      </c>
      <c r="B56" s="150" t="inlineStr">
        <is>
          <t>Select Encounter Type</t>
        </is>
      </c>
      <c r="C56" s="153" t="n"/>
      <c r="D56" s="153" t="n"/>
      <c r="E56" s="153" t="n"/>
      <c r="F56" s="152">
        <f>SUM(EncLoaded[[#This Row],[Direct Cost]:[Overhead Cost]])</f>
        <v/>
      </c>
      <c r="G56" s="152">
        <f>EncLoaded[[#This Row],[Total Cost]]/EncLoaded[[#This Row],[Volumes]]</f>
        <v/>
      </c>
    </row>
    <row r="57">
      <c r="A57" s="149" t="inlineStr">
        <is>
          <t>Select Facility</t>
        </is>
      </c>
      <c r="B57" s="150" t="inlineStr">
        <is>
          <t>Select Encounter Type</t>
        </is>
      </c>
      <c r="C57" s="153" t="n"/>
      <c r="D57" s="153" t="n"/>
      <c r="E57" s="153" t="n"/>
      <c r="F57" s="152">
        <f>SUM(EncLoaded[[#This Row],[Direct Cost]:[Overhead Cost]])</f>
        <v/>
      </c>
      <c r="G57" s="152">
        <f>EncLoaded[[#This Row],[Total Cost]]/EncLoaded[[#This Row],[Volumes]]</f>
        <v/>
      </c>
    </row>
    <row r="58">
      <c r="A58" s="149" t="inlineStr">
        <is>
          <t>Select Facility</t>
        </is>
      </c>
      <c r="B58" s="150" t="inlineStr">
        <is>
          <t>Select Encounter Type</t>
        </is>
      </c>
      <c r="C58" s="153" t="n"/>
      <c r="D58" s="153" t="n"/>
      <c r="E58" s="153" t="n"/>
      <c r="F58" s="152">
        <f>SUM(EncLoaded[[#This Row],[Direct Cost]:[Overhead Cost]])</f>
        <v/>
      </c>
      <c r="G58" s="152">
        <f>EncLoaded[[#This Row],[Total Cost]]/EncLoaded[[#This Row],[Volumes]]</f>
        <v/>
      </c>
    </row>
    <row r="59">
      <c r="A59" s="149" t="inlineStr">
        <is>
          <t>Select Facility</t>
        </is>
      </c>
      <c r="B59" s="150" t="inlineStr">
        <is>
          <t>Select Encounter Type</t>
        </is>
      </c>
      <c r="C59" s="153" t="n"/>
      <c r="D59" s="153" t="n"/>
      <c r="E59" s="153" t="n"/>
      <c r="F59" s="152">
        <f>SUM(EncLoaded[[#This Row],[Direct Cost]:[Overhead Cost]])</f>
        <v/>
      </c>
      <c r="G59" s="152">
        <f>EncLoaded[[#This Row],[Total Cost]]/EncLoaded[[#This Row],[Volumes]]</f>
        <v/>
      </c>
    </row>
    <row r="60">
      <c r="A60" s="149" t="inlineStr">
        <is>
          <t>Select Facility</t>
        </is>
      </c>
      <c r="B60" s="150" t="inlineStr">
        <is>
          <t>Select Encounter Type</t>
        </is>
      </c>
      <c r="C60" s="153" t="n"/>
      <c r="D60" s="153" t="n"/>
      <c r="E60" s="153" t="n"/>
      <c r="F60" s="152">
        <f>SUM(EncLoaded[[#This Row],[Direct Cost]:[Overhead Cost]])</f>
        <v/>
      </c>
      <c r="G60" s="152">
        <f>EncLoaded[[#This Row],[Total Cost]]/EncLoaded[[#This Row],[Volumes]]</f>
        <v/>
      </c>
    </row>
    <row r="61">
      <c r="A61" s="149" t="inlineStr">
        <is>
          <t>Select Facility</t>
        </is>
      </c>
      <c r="B61" s="150" t="inlineStr">
        <is>
          <t>Select Encounter Type</t>
        </is>
      </c>
      <c r="C61" s="153" t="n"/>
      <c r="D61" s="153" t="n"/>
      <c r="E61" s="153" t="n"/>
      <c r="F61" s="152">
        <f>SUM(EncLoaded[[#This Row],[Direct Cost]:[Overhead Cost]])</f>
        <v/>
      </c>
      <c r="G61" s="152">
        <f>EncLoaded[[#This Row],[Total Cost]]/EncLoaded[[#This Row],[Volumes]]</f>
        <v/>
      </c>
    </row>
    <row r="62">
      <c r="A62" s="149" t="inlineStr">
        <is>
          <t>Select Facility</t>
        </is>
      </c>
      <c r="B62" s="150" t="inlineStr">
        <is>
          <t>Select Encounter Type</t>
        </is>
      </c>
      <c r="C62" s="153" t="n"/>
      <c r="D62" s="153" t="n"/>
      <c r="E62" s="153" t="n"/>
      <c r="F62" s="152">
        <f>SUM(EncLoaded[[#This Row],[Direct Cost]:[Overhead Cost]])</f>
        <v/>
      </c>
      <c r="G62" s="152">
        <f>EncLoaded[[#This Row],[Total Cost]]/EncLoaded[[#This Row],[Volumes]]</f>
        <v/>
      </c>
    </row>
    <row r="63">
      <c r="A63" s="149" t="inlineStr">
        <is>
          <t>Select Facility</t>
        </is>
      </c>
      <c r="B63" s="150" t="inlineStr">
        <is>
          <t>Select Encounter Type</t>
        </is>
      </c>
      <c r="C63" s="153" t="n"/>
      <c r="D63" s="153" t="n"/>
      <c r="E63" s="153" t="n"/>
      <c r="F63" s="152">
        <f>SUM(EncLoaded[[#This Row],[Direct Cost]:[Overhead Cost]])</f>
        <v/>
      </c>
      <c r="G63" s="152">
        <f>EncLoaded[[#This Row],[Total Cost]]/EncLoaded[[#This Row],[Volumes]]</f>
        <v/>
      </c>
    </row>
    <row r="64">
      <c r="A64" s="149" t="inlineStr">
        <is>
          <t>Select Facility</t>
        </is>
      </c>
      <c r="B64" s="150" t="inlineStr">
        <is>
          <t>Select Encounter Type</t>
        </is>
      </c>
      <c r="C64" s="153" t="n"/>
      <c r="D64" s="153" t="n"/>
      <c r="E64" s="153" t="n"/>
      <c r="F64" s="152">
        <f>SUM(EncLoaded[[#This Row],[Direct Cost]:[Overhead Cost]])</f>
        <v/>
      </c>
      <c r="G64" s="152">
        <f>EncLoaded[[#This Row],[Total Cost]]/EncLoaded[[#This Row],[Volumes]]</f>
        <v/>
      </c>
    </row>
    <row r="65">
      <c r="A65" s="149" t="inlineStr">
        <is>
          <t>Select Facility</t>
        </is>
      </c>
      <c r="B65" s="150" t="inlineStr">
        <is>
          <t>Select Encounter Type</t>
        </is>
      </c>
      <c r="C65" s="153" t="n"/>
      <c r="D65" s="153" t="n"/>
      <c r="E65" s="153" t="n"/>
      <c r="F65" s="152">
        <f>SUM(EncLoaded[[#This Row],[Direct Cost]:[Overhead Cost]])</f>
        <v/>
      </c>
      <c r="G65" s="152">
        <f>EncLoaded[[#This Row],[Total Cost]]/EncLoaded[[#This Row],[Volumes]]</f>
        <v/>
      </c>
    </row>
    <row r="66">
      <c r="A66" s="149" t="inlineStr">
        <is>
          <t>Select Facility</t>
        </is>
      </c>
      <c r="B66" s="150" t="inlineStr">
        <is>
          <t>Select Encounter Type</t>
        </is>
      </c>
      <c r="C66" s="153" t="n"/>
      <c r="D66" s="153" t="n"/>
      <c r="E66" s="153" t="n"/>
      <c r="F66" s="152">
        <f>SUM(EncLoaded[[#This Row],[Direct Cost]:[Overhead Cost]])</f>
        <v/>
      </c>
      <c r="G66" s="152">
        <f>EncLoaded[[#This Row],[Total Cost]]/EncLoaded[[#This Row],[Volumes]]</f>
        <v/>
      </c>
    </row>
    <row r="67">
      <c r="A67" s="149" t="inlineStr">
        <is>
          <t>Select Facility</t>
        </is>
      </c>
      <c r="B67" s="150" t="inlineStr">
        <is>
          <t>Select Encounter Type</t>
        </is>
      </c>
      <c r="C67" s="153" t="n"/>
      <c r="D67" s="153" t="n"/>
      <c r="E67" s="153" t="n"/>
      <c r="F67" s="152">
        <f>SUM(EncLoaded[[#This Row],[Direct Cost]:[Overhead Cost]])</f>
        <v/>
      </c>
      <c r="G67" s="152">
        <f>EncLoaded[[#This Row],[Total Cost]]/EncLoaded[[#This Row],[Volumes]]</f>
        <v/>
      </c>
    </row>
    <row r="68">
      <c r="A68" s="149" t="inlineStr">
        <is>
          <t>Select Facility</t>
        </is>
      </c>
      <c r="B68" s="150" t="inlineStr">
        <is>
          <t>Select Encounter Type</t>
        </is>
      </c>
      <c r="C68" s="153" t="n"/>
      <c r="D68" s="153" t="n"/>
      <c r="E68" s="153" t="n"/>
      <c r="F68" s="152">
        <f>SUM(EncLoaded[[#This Row],[Direct Cost]:[Overhead Cost]])</f>
        <v/>
      </c>
      <c r="G68" s="152">
        <f>EncLoaded[[#This Row],[Total Cost]]/EncLoaded[[#This Row],[Volumes]]</f>
        <v/>
      </c>
    </row>
    <row r="69">
      <c r="A69" s="149" t="inlineStr">
        <is>
          <t>Select Facility</t>
        </is>
      </c>
      <c r="B69" s="150" t="inlineStr">
        <is>
          <t>Select Encounter Type</t>
        </is>
      </c>
      <c r="C69" s="153" t="n"/>
      <c r="D69" s="153" t="n"/>
      <c r="E69" s="153" t="n"/>
      <c r="F69" s="152">
        <f>SUM(EncLoaded[[#This Row],[Direct Cost]:[Overhead Cost]])</f>
        <v/>
      </c>
      <c r="G69" s="152">
        <f>EncLoaded[[#This Row],[Total Cost]]/EncLoaded[[#This Row],[Volumes]]</f>
        <v/>
      </c>
    </row>
    <row r="70">
      <c r="A70" s="149" t="inlineStr">
        <is>
          <t>Select Facility</t>
        </is>
      </c>
      <c r="B70" s="150" t="inlineStr">
        <is>
          <t>Select Encounter Type</t>
        </is>
      </c>
      <c r="C70" s="153" t="n"/>
      <c r="D70" s="153" t="n"/>
      <c r="E70" s="153" t="n"/>
      <c r="F70" s="152">
        <f>SUM(EncLoaded[[#This Row],[Direct Cost]:[Overhead Cost]])</f>
        <v/>
      </c>
      <c r="G70" s="152">
        <f>EncLoaded[[#This Row],[Total Cost]]/EncLoaded[[#This Row],[Volumes]]</f>
        <v/>
      </c>
    </row>
    <row r="71">
      <c r="A71" s="149" t="inlineStr">
        <is>
          <t>Select Facility</t>
        </is>
      </c>
      <c r="B71" s="150" t="inlineStr">
        <is>
          <t>Select Encounter Type</t>
        </is>
      </c>
      <c r="C71" s="153" t="n"/>
      <c r="D71" s="153" t="n"/>
      <c r="E71" s="153" t="n"/>
      <c r="F71" s="152">
        <f>SUM(EncLoaded[[#This Row],[Direct Cost]:[Overhead Cost]])</f>
        <v/>
      </c>
      <c r="G71" s="152">
        <f>EncLoaded[[#This Row],[Total Cost]]/EncLoaded[[#This Row],[Volumes]]</f>
        <v/>
      </c>
    </row>
    <row r="72">
      <c r="A72" s="149" t="inlineStr">
        <is>
          <t>Select Facility</t>
        </is>
      </c>
      <c r="B72" s="150" t="inlineStr">
        <is>
          <t>Select Encounter Type</t>
        </is>
      </c>
      <c r="C72" s="153" t="n"/>
      <c r="D72" s="153" t="n"/>
      <c r="E72" s="153" t="n"/>
      <c r="F72" s="152">
        <f>SUM(EncLoaded[[#This Row],[Direct Cost]:[Overhead Cost]])</f>
        <v/>
      </c>
      <c r="G72" s="152">
        <f>EncLoaded[[#This Row],[Total Cost]]/EncLoaded[[#This Row],[Volumes]]</f>
        <v/>
      </c>
    </row>
    <row r="73">
      <c r="A73" s="149" t="inlineStr">
        <is>
          <t>Select Facility</t>
        </is>
      </c>
      <c r="B73" s="150" t="inlineStr">
        <is>
          <t>Select Encounter Type</t>
        </is>
      </c>
      <c r="C73" s="153" t="n"/>
      <c r="D73" s="153" t="n"/>
      <c r="E73" s="153" t="n"/>
      <c r="F73" s="152">
        <f>SUM(EncLoaded[[#This Row],[Direct Cost]:[Overhead Cost]])</f>
        <v/>
      </c>
      <c r="G73" s="152">
        <f>EncLoaded[[#This Row],[Total Cost]]/EncLoaded[[#This Row],[Volumes]]</f>
        <v/>
      </c>
    </row>
    <row r="74">
      <c r="A74" s="149" t="inlineStr">
        <is>
          <t>Select Facility</t>
        </is>
      </c>
      <c r="B74" s="150" t="inlineStr">
        <is>
          <t>Select Encounter Type</t>
        </is>
      </c>
      <c r="C74" s="153" t="n"/>
      <c r="D74" s="153" t="n"/>
      <c r="E74" s="153" t="n"/>
      <c r="F74" s="152">
        <f>SUM(EncLoaded[[#This Row],[Direct Cost]:[Overhead Cost]])</f>
        <v/>
      </c>
      <c r="G74" s="152">
        <f>EncLoaded[[#This Row],[Total Cost]]/EncLoaded[[#This Row],[Volumes]]</f>
        <v/>
      </c>
    </row>
    <row r="75">
      <c r="A75" s="149" t="inlineStr">
        <is>
          <t>Select Facility</t>
        </is>
      </c>
      <c r="B75" s="150" t="inlineStr">
        <is>
          <t>Select Encounter Type</t>
        </is>
      </c>
      <c r="C75" s="153" t="n"/>
      <c r="D75" s="153" t="n"/>
      <c r="E75" s="153" t="n"/>
      <c r="F75" s="152">
        <f>SUM(EncLoaded[[#This Row],[Direct Cost]:[Overhead Cost]])</f>
        <v/>
      </c>
      <c r="G75" s="152">
        <f>EncLoaded[[#This Row],[Total Cost]]/EncLoaded[[#This Row],[Volumes]]</f>
        <v/>
      </c>
    </row>
    <row r="76">
      <c r="A76" s="149" t="inlineStr">
        <is>
          <t>Select Facility</t>
        </is>
      </c>
      <c r="B76" s="150" t="inlineStr">
        <is>
          <t>Select Encounter Type</t>
        </is>
      </c>
      <c r="C76" s="153" t="n"/>
      <c r="D76" s="153" t="n"/>
      <c r="E76" s="153" t="n"/>
      <c r="F76" s="152">
        <f>SUM(EncLoaded[[#This Row],[Direct Cost]:[Overhead Cost]])</f>
        <v/>
      </c>
      <c r="G76" s="152">
        <f>EncLoaded[[#This Row],[Total Cost]]/EncLoaded[[#This Row],[Volumes]]</f>
        <v/>
      </c>
    </row>
    <row r="77">
      <c r="A77" s="149" t="inlineStr">
        <is>
          <t>Select Facility</t>
        </is>
      </c>
      <c r="B77" s="150" t="inlineStr">
        <is>
          <t>Select Encounter Type</t>
        </is>
      </c>
      <c r="C77" s="153" t="n"/>
      <c r="D77" s="153" t="n"/>
      <c r="E77" s="153" t="n"/>
      <c r="F77" s="152">
        <f>SUM(EncLoaded[[#This Row],[Direct Cost]:[Overhead Cost]])</f>
        <v/>
      </c>
      <c r="G77" s="152">
        <f>EncLoaded[[#This Row],[Total Cost]]/EncLoaded[[#This Row],[Volumes]]</f>
        <v/>
      </c>
    </row>
    <row r="78">
      <c r="A78" s="149" t="inlineStr">
        <is>
          <t>Select Facility</t>
        </is>
      </c>
      <c r="B78" s="150" t="inlineStr">
        <is>
          <t>Select Encounter Type</t>
        </is>
      </c>
      <c r="C78" s="153" t="n"/>
      <c r="D78" s="153" t="n"/>
      <c r="E78" s="153" t="n"/>
      <c r="F78" s="152">
        <f>SUM(EncLoaded[[#This Row],[Direct Cost]:[Overhead Cost]])</f>
        <v/>
      </c>
      <c r="G78" s="152">
        <f>EncLoaded[[#This Row],[Total Cost]]/EncLoaded[[#This Row],[Volumes]]</f>
        <v/>
      </c>
    </row>
    <row r="79">
      <c r="A79" s="149" t="inlineStr">
        <is>
          <t>Select Facility</t>
        </is>
      </c>
      <c r="B79" s="150" t="inlineStr">
        <is>
          <t>Select Encounter Type</t>
        </is>
      </c>
      <c r="C79" s="153" t="n"/>
      <c r="D79" s="153" t="n"/>
      <c r="E79" s="153" t="n"/>
      <c r="F79" s="152">
        <f>SUM(EncLoaded[[#This Row],[Direct Cost]:[Overhead Cost]])</f>
        <v/>
      </c>
      <c r="G79" s="152">
        <f>EncLoaded[[#This Row],[Total Cost]]/EncLoaded[[#This Row],[Volumes]]</f>
        <v/>
      </c>
    </row>
    <row r="80">
      <c r="A80" s="149" t="inlineStr">
        <is>
          <t>Select Facility</t>
        </is>
      </c>
      <c r="B80" s="150" t="inlineStr">
        <is>
          <t>Select Encounter Type</t>
        </is>
      </c>
      <c r="C80" s="153" t="n"/>
      <c r="D80" s="153" t="n"/>
      <c r="E80" s="153" t="n"/>
      <c r="F80" s="152">
        <f>SUM(EncLoaded[[#This Row],[Direct Cost]:[Overhead Cost]])</f>
        <v/>
      </c>
      <c r="G80" s="152">
        <f>EncLoaded[[#This Row],[Total Cost]]/EncLoaded[[#This Row],[Volumes]]</f>
        <v/>
      </c>
    </row>
    <row r="81">
      <c r="A81" s="149" t="inlineStr">
        <is>
          <t>Select Facility</t>
        </is>
      </c>
      <c r="B81" s="150" t="inlineStr">
        <is>
          <t>Select Encounter Type</t>
        </is>
      </c>
      <c r="C81" s="153" t="n"/>
      <c r="D81" s="153" t="n"/>
      <c r="E81" s="153" t="n"/>
      <c r="F81" s="152">
        <f>SUM(EncLoaded[[#This Row],[Direct Cost]:[Overhead Cost]])</f>
        <v/>
      </c>
      <c r="G81" s="152">
        <f>EncLoaded[[#This Row],[Total Cost]]/EncLoaded[[#This Row],[Volumes]]</f>
        <v/>
      </c>
    </row>
    <row r="82">
      <c r="A82" s="149" t="inlineStr">
        <is>
          <t>Select Facility</t>
        </is>
      </c>
      <c r="B82" s="150" t="inlineStr">
        <is>
          <t>Select Encounter Type</t>
        </is>
      </c>
      <c r="C82" s="153" t="n"/>
      <c r="D82" s="153" t="n"/>
      <c r="E82" s="153" t="n"/>
      <c r="F82" s="152">
        <f>SUM(EncLoaded[[#This Row],[Direct Cost]:[Overhead Cost]])</f>
        <v/>
      </c>
      <c r="G82" s="152">
        <f>EncLoaded[[#This Row],[Total Cost]]/EncLoaded[[#This Row],[Volumes]]</f>
        <v/>
      </c>
    </row>
    <row r="83">
      <c r="A83" s="149" t="inlineStr">
        <is>
          <t>Select Facility</t>
        </is>
      </c>
      <c r="B83" s="150" t="inlineStr">
        <is>
          <t>Select Encounter Type</t>
        </is>
      </c>
      <c r="C83" s="153" t="n"/>
      <c r="D83" s="153" t="n"/>
      <c r="E83" s="153" t="n"/>
      <c r="F83" s="152">
        <f>SUM(EncLoaded[[#This Row],[Direct Cost]:[Overhead Cost]])</f>
        <v/>
      </c>
      <c r="G83" s="152">
        <f>EncLoaded[[#This Row],[Total Cost]]/EncLoaded[[#This Row],[Volumes]]</f>
        <v/>
      </c>
    </row>
    <row r="84">
      <c r="A84" s="149" t="inlineStr">
        <is>
          <t>Select Facility</t>
        </is>
      </c>
      <c r="B84" s="150" t="inlineStr">
        <is>
          <t>Select Encounter Type</t>
        </is>
      </c>
      <c r="C84" s="153" t="n"/>
      <c r="D84" s="153" t="n"/>
      <c r="E84" s="153" t="n"/>
      <c r="F84" s="152">
        <f>SUM(EncLoaded[[#This Row],[Direct Cost]:[Overhead Cost]])</f>
        <v/>
      </c>
      <c r="G84" s="152">
        <f>EncLoaded[[#This Row],[Total Cost]]/EncLoaded[[#This Row],[Volumes]]</f>
        <v/>
      </c>
    </row>
    <row r="85">
      <c r="A85" s="149" t="inlineStr">
        <is>
          <t>Select Facility</t>
        </is>
      </c>
      <c r="B85" s="150" t="inlineStr">
        <is>
          <t>Select Encounter Type</t>
        </is>
      </c>
      <c r="C85" s="153" t="n"/>
      <c r="D85" s="153" t="n"/>
      <c r="E85" s="153" t="n"/>
      <c r="F85" s="152">
        <f>SUM(EncLoaded[[#This Row],[Direct Cost]:[Overhead Cost]])</f>
        <v/>
      </c>
      <c r="G85" s="152">
        <f>EncLoaded[[#This Row],[Total Cost]]/EncLoaded[[#This Row],[Volumes]]</f>
        <v/>
      </c>
    </row>
    <row r="86">
      <c r="A86" s="149" t="inlineStr">
        <is>
          <t>Select Facility</t>
        </is>
      </c>
      <c r="B86" s="150" t="inlineStr">
        <is>
          <t>Select Encounter Type</t>
        </is>
      </c>
      <c r="C86" s="153" t="n"/>
      <c r="D86" s="153" t="n"/>
      <c r="E86" s="153" t="n"/>
      <c r="F86" s="152">
        <f>SUM(EncLoaded[[#This Row],[Direct Cost]:[Overhead Cost]])</f>
        <v/>
      </c>
      <c r="G86" s="152">
        <f>EncLoaded[[#This Row],[Total Cost]]/EncLoaded[[#This Row],[Volumes]]</f>
        <v/>
      </c>
    </row>
    <row r="87">
      <c r="A87" s="149" t="inlineStr">
        <is>
          <t>Select Facility</t>
        </is>
      </c>
      <c r="B87" s="150" t="inlineStr">
        <is>
          <t>Select Encounter Type</t>
        </is>
      </c>
      <c r="C87" s="153" t="n"/>
      <c r="D87" s="153" t="n"/>
      <c r="E87" s="153" t="n"/>
      <c r="F87" s="152">
        <f>SUM(EncLoaded[[#This Row],[Direct Cost]:[Overhead Cost]])</f>
        <v/>
      </c>
      <c r="G87" s="152">
        <f>EncLoaded[[#This Row],[Total Cost]]/EncLoaded[[#This Row],[Volumes]]</f>
        <v/>
      </c>
    </row>
    <row r="88">
      <c r="A88" s="149" t="inlineStr">
        <is>
          <t>Select Facility</t>
        </is>
      </c>
      <c r="B88" s="150" t="inlineStr">
        <is>
          <t>Select Encounter Type</t>
        </is>
      </c>
      <c r="C88" s="153" t="n"/>
      <c r="D88" s="153" t="n"/>
      <c r="E88" s="153" t="n"/>
      <c r="F88" s="152">
        <f>SUM(EncLoaded[[#This Row],[Direct Cost]:[Overhead Cost]])</f>
        <v/>
      </c>
      <c r="G88" s="152">
        <f>EncLoaded[[#This Row],[Total Cost]]/EncLoaded[[#This Row],[Volumes]]</f>
        <v/>
      </c>
    </row>
    <row r="89">
      <c r="A89" s="149" t="inlineStr">
        <is>
          <t>Select Facility</t>
        </is>
      </c>
      <c r="B89" s="150" t="inlineStr">
        <is>
          <t>Select Encounter Type</t>
        </is>
      </c>
      <c r="C89" s="153" t="n"/>
      <c r="D89" s="153" t="n"/>
      <c r="E89" s="153" t="n"/>
      <c r="F89" s="152">
        <f>SUM(EncLoaded[[#This Row],[Direct Cost]:[Overhead Cost]])</f>
        <v/>
      </c>
      <c r="G89" s="152">
        <f>EncLoaded[[#This Row],[Total Cost]]/EncLoaded[[#This Row],[Volumes]]</f>
        <v/>
      </c>
    </row>
    <row r="90">
      <c r="A90" s="149" t="inlineStr">
        <is>
          <t>Select Facility</t>
        </is>
      </c>
      <c r="B90" s="150" t="inlineStr">
        <is>
          <t>Select Encounter Type</t>
        </is>
      </c>
      <c r="C90" s="153" t="n"/>
      <c r="D90" s="153" t="n"/>
      <c r="E90" s="153" t="n"/>
      <c r="F90" s="152">
        <f>SUM(EncLoaded[[#This Row],[Direct Cost]:[Overhead Cost]])</f>
        <v/>
      </c>
      <c r="G90" s="152">
        <f>EncLoaded[[#This Row],[Total Cost]]/EncLoaded[[#This Row],[Volumes]]</f>
        <v/>
      </c>
    </row>
    <row r="91">
      <c r="A91" s="149" t="inlineStr">
        <is>
          <t>Select Facility</t>
        </is>
      </c>
      <c r="B91" s="150" t="inlineStr">
        <is>
          <t>Select Encounter Type</t>
        </is>
      </c>
      <c r="C91" s="153" t="n"/>
      <c r="D91" s="153" t="n"/>
      <c r="E91" s="153" t="n"/>
      <c r="F91" s="152">
        <f>SUM(EncLoaded[[#This Row],[Direct Cost]:[Overhead Cost]])</f>
        <v/>
      </c>
      <c r="G91" s="152">
        <f>EncLoaded[[#This Row],[Total Cost]]/EncLoaded[[#This Row],[Volumes]]</f>
        <v/>
      </c>
    </row>
    <row r="92">
      <c r="A92" s="149" t="inlineStr">
        <is>
          <t>Select Facility</t>
        </is>
      </c>
      <c r="B92" s="150" t="inlineStr">
        <is>
          <t>Select Encounter Type</t>
        </is>
      </c>
      <c r="C92" s="153" t="n"/>
      <c r="D92" s="153" t="n"/>
      <c r="E92" s="153" t="n"/>
      <c r="F92" s="152">
        <f>SUM(EncLoaded[[#This Row],[Direct Cost]:[Overhead Cost]])</f>
        <v/>
      </c>
      <c r="G92" s="152">
        <f>EncLoaded[[#This Row],[Total Cost]]/EncLoaded[[#This Row],[Volumes]]</f>
        <v/>
      </c>
    </row>
    <row r="93">
      <c r="A93" s="149" t="inlineStr">
        <is>
          <t>Select Facility</t>
        </is>
      </c>
      <c r="B93" s="150" t="inlineStr">
        <is>
          <t>Select Encounter Type</t>
        </is>
      </c>
      <c r="C93" s="153" t="n"/>
      <c r="D93" s="153" t="n"/>
      <c r="E93" s="153" t="n"/>
      <c r="F93" s="152">
        <f>SUM(EncLoaded[[#This Row],[Direct Cost]:[Overhead Cost]])</f>
        <v/>
      </c>
      <c r="G93" s="152">
        <f>EncLoaded[[#This Row],[Total Cost]]/EncLoaded[[#This Row],[Volumes]]</f>
        <v/>
      </c>
    </row>
    <row r="94">
      <c r="A94" s="149" t="inlineStr">
        <is>
          <t>Select Facility</t>
        </is>
      </c>
      <c r="B94" s="150" t="inlineStr">
        <is>
          <t>Select Encounter Type</t>
        </is>
      </c>
      <c r="C94" s="153" t="n"/>
      <c r="D94" s="153" t="n"/>
      <c r="E94" s="153" t="n"/>
      <c r="F94" s="152">
        <f>SUM(EncLoaded[[#This Row],[Direct Cost]:[Overhead Cost]])</f>
        <v/>
      </c>
      <c r="G94" s="152">
        <f>EncLoaded[[#This Row],[Total Cost]]/EncLoaded[[#This Row],[Volumes]]</f>
        <v/>
      </c>
    </row>
    <row r="95">
      <c r="A95" s="149" t="inlineStr">
        <is>
          <t>Select Facility</t>
        </is>
      </c>
      <c r="B95" s="150" t="inlineStr">
        <is>
          <t>Select Encounter Type</t>
        </is>
      </c>
      <c r="C95" s="153" t="n"/>
      <c r="D95" s="153" t="n"/>
      <c r="E95" s="153" t="n"/>
      <c r="F95" s="152">
        <f>SUM(EncLoaded[[#This Row],[Direct Cost]:[Overhead Cost]])</f>
        <v/>
      </c>
      <c r="G95" s="152">
        <f>EncLoaded[[#This Row],[Total Cost]]/EncLoaded[[#This Row],[Volumes]]</f>
        <v/>
      </c>
    </row>
    <row r="96">
      <c r="A96" s="149" t="inlineStr">
        <is>
          <t>Select Facility</t>
        </is>
      </c>
      <c r="B96" s="150" t="inlineStr">
        <is>
          <t>Select Encounter Type</t>
        </is>
      </c>
      <c r="C96" s="153" t="n"/>
      <c r="D96" s="153" t="n"/>
      <c r="E96" s="153" t="n"/>
      <c r="F96" s="152">
        <f>SUM(EncLoaded[[#This Row],[Direct Cost]:[Overhead Cost]])</f>
        <v/>
      </c>
      <c r="G96" s="152">
        <f>EncLoaded[[#This Row],[Total Cost]]/EncLoaded[[#This Row],[Volumes]]</f>
        <v/>
      </c>
    </row>
    <row r="97">
      <c r="A97" s="149" t="inlineStr">
        <is>
          <t>Select Facility</t>
        </is>
      </c>
      <c r="B97" s="150" t="inlineStr">
        <is>
          <t>Select Encounter Type</t>
        </is>
      </c>
      <c r="C97" s="153" t="n"/>
      <c r="D97" s="153" t="n"/>
      <c r="E97" s="153" t="n"/>
      <c r="F97" s="152">
        <f>SUM(EncLoaded[[#This Row],[Direct Cost]:[Overhead Cost]])</f>
        <v/>
      </c>
      <c r="G97" s="152">
        <f>EncLoaded[[#This Row],[Total Cost]]/EncLoaded[[#This Row],[Volumes]]</f>
        <v/>
      </c>
    </row>
    <row r="98">
      <c r="A98" s="149" t="inlineStr">
        <is>
          <t>Select Facility</t>
        </is>
      </c>
      <c r="B98" s="150" t="inlineStr">
        <is>
          <t>Select Encounter Type</t>
        </is>
      </c>
      <c r="C98" s="153" t="n"/>
      <c r="D98" s="153" t="n"/>
      <c r="E98" s="153" t="n"/>
      <c r="F98" s="152">
        <f>SUM(EncLoaded[[#This Row],[Direct Cost]:[Overhead Cost]])</f>
        <v/>
      </c>
      <c r="G98" s="152">
        <f>EncLoaded[[#This Row],[Total Cost]]/EncLoaded[[#This Row],[Volumes]]</f>
        <v/>
      </c>
    </row>
    <row r="99">
      <c r="A99" s="149" t="inlineStr">
        <is>
          <t>Select Facility</t>
        </is>
      </c>
      <c r="B99" s="150" t="inlineStr">
        <is>
          <t>Select Encounter Type</t>
        </is>
      </c>
      <c r="C99" s="153" t="n"/>
      <c r="D99" s="153" t="n"/>
      <c r="E99" s="153" t="n"/>
      <c r="F99" s="152">
        <f>SUM(EncLoaded[[#This Row],[Direct Cost]:[Overhead Cost]])</f>
        <v/>
      </c>
      <c r="G99" s="152">
        <f>EncLoaded[[#This Row],[Total Cost]]/EncLoaded[[#This Row],[Volumes]]</f>
        <v/>
      </c>
    </row>
    <row r="100">
      <c r="A100" s="149" t="inlineStr">
        <is>
          <t>Select Facility</t>
        </is>
      </c>
      <c r="B100" s="150" t="inlineStr">
        <is>
          <t>Select Encounter Type</t>
        </is>
      </c>
      <c r="C100" s="153" t="n"/>
      <c r="D100" s="153" t="n"/>
      <c r="E100" s="153" t="n"/>
      <c r="F100" s="152">
        <f>SUM(EncLoaded[[#This Row],[Direct Cost]:[Overhead Cost]])</f>
        <v/>
      </c>
      <c r="G100" s="152">
        <f>EncLoaded[[#This Row],[Total Cost]]/EncLoaded[[#This Row],[Volumes]]</f>
        <v/>
      </c>
    </row>
    <row r="101">
      <c r="A101" s="149" t="inlineStr">
        <is>
          <t>Select Facility</t>
        </is>
      </c>
      <c r="B101" s="150" t="inlineStr">
        <is>
          <t>Select Encounter Type</t>
        </is>
      </c>
      <c r="C101" s="153" t="n"/>
      <c r="D101" s="153" t="n"/>
      <c r="E101" s="153" t="n"/>
      <c r="F101" s="152">
        <f>SUM(EncLoaded[[#This Row],[Direct Cost]:[Overhead Cost]])</f>
        <v/>
      </c>
      <c r="G101" s="152">
        <f>EncLoaded[[#This Row],[Total Cost]]/EncLoaded[[#This Row],[Volumes]]</f>
        <v/>
      </c>
    </row>
    <row r="102">
      <c r="A102" s="149" t="inlineStr">
        <is>
          <t>Select Facility</t>
        </is>
      </c>
      <c r="B102" s="150" t="inlineStr">
        <is>
          <t>Select Encounter Type</t>
        </is>
      </c>
      <c r="C102" s="153" t="n"/>
      <c r="D102" s="153" t="n"/>
      <c r="E102" s="153" t="n"/>
      <c r="F102" s="152">
        <f>SUM(EncLoaded[[#This Row],[Direct Cost]:[Overhead Cost]])</f>
        <v/>
      </c>
      <c r="G102" s="152">
        <f>EncLoaded[[#This Row],[Total Cost]]/EncLoaded[[#This Row],[Volumes]]</f>
        <v/>
      </c>
    </row>
    <row r="103">
      <c r="A103" s="149" t="inlineStr">
        <is>
          <t>Select Facility</t>
        </is>
      </c>
      <c r="B103" s="150" t="inlineStr">
        <is>
          <t>Select Encounter Type</t>
        </is>
      </c>
      <c r="C103" s="153" t="n"/>
      <c r="D103" s="153" t="n"/>
      <c r="E103" s="153" t="n"/>
      <c r="F103" s="152">
        <f>SUM(EncLoaded[[#This Row],[Direct Cost]:[Overhead Cost]])</f>
        <v/>
      </c>
      <c r="G103" s="152">
        <f>EncLoaded[[#This Row],[Total Cost]]/EncLoaded[[#This Row],[Volumes]]</f>
        <v/>
      </c>
    </row>
    <row r="104">
      <c r="A104" s="149" t="inlineStr">
        <is>
          <t>Select Facility</t>
        </is>
      </c>
      <c r="B104" s="150" t="inlineStr">
        <is>
          <t>Select Encounter Type</t>
        </is>
      </c>
      <c r="C104" s="153" t="n"/>
      <c r="D104" s="153" t="n"/>
      <c r="E104" s="153" t="n"/>
      <c r="F104" s="152">
        <f>SUM(EncLoaded[[#This Row],[Direct Cost]:[Overhead Cost]])</f>
        <v/>
      </c>
      <c r="G104" s="152">
        <f>EncLoaded[[#This Row],[Total Cost]]/EncLoaded[[#This Row],[Volumes]]</f>
        <v/>
      </c>
    </row>
    <row r="105">
      <c r="A105" s="149" t="inlineStr">
        <is>
          <t>Select Facility</t>
        </is>
      </c>
      <c r="B105" s="150" t="inlineStr">
        <is>
          <t>Select Encounter Type</t>
        </is>
      </c>
      <c r="C105" s="153" t="n"/>
      <c r="D105" s="153" t="n"/>
      <c r="E105" s="153" t="n"/>
      <c r="F105" s="152">
        <f>SUM(EncLoaded[[#This Row],[Direct Cost]:[Overhead Cost]])</f>
        <v/>
      </c>
      <c r="G105" s="152">
        <f>EncLoaded[[#This Row],[Total Cost]]/EncLoaded[[#This Row],[Volumes]]</f>
        <v/>
      </c>
    </row>
    <row r="106">
      <c r="A106" s="149" t="inlineStr">
        <is>
          <t>Select Facility</t>
        </is>
      </c>
      <c r="B106" s="150" t="inlineStr">
        <is>
          <t>Select Encounter Type</t>
        </is>
      </c>
      <c r="C106" s="153" t="n"/>
      <c r="D106" s="153" t="n"/>
      <c r="E106" s="153" t="n"/>
      <c r="F106" s="152">
        <f>SUM(EncLoaded[[#This Row],[Direct Cost]:[Overhead Cost]])</f>
        <v/>
      </c>
      <c r="G106" s="152">
        <f>EncLoaded[[#This Row],[Total Cost]]/EncLoaded[[#This Row],[Volumes]]</f>
        <v/>
      </c>
    </row>
    <row r="107">
      <c r="A107" s="149" t="inlineStr">
        <is>
          <t>Select Facility</t>
        </is>
      </c>
      <c r="B107" s="150" t="inlineStr">
        <is>
          <t>Select Encounter Type</t>
        </is>
      </c>
      <c r="C107" s="153" t="n"/>
      <c r="D107" s="153" t="n"/>
      <c r="E107" s="153" t="n"/>
      <c r="F107" s="152">
        <f>SUM(EncLoaded[[#This Row],[Direct Cost]:[Overhead Cost]])</f>
        <v/>
      </c>
      <c r="G107" s="152">
        <f>EncLoaded[[#This Row],[Total Cost]]/EncLoaded[[#This Row],[Volumes]]</f>
        <v/>
      </c>
    </row>
    <row r="108">
      <c r="A108" s="149" t="inlineStr">
        <is>
          <t>Select Facility</t>
        </is>
      </c>
      <c r="B108" s="150" t="inlineStr">
        <is>
          <t>Select Encounter Type</t>
        </is>
      </c>
      <c r="C108" s="153" t="n"/>
      <c r="D108" s="153" t="n"/>
      <c r="E108" s="153" t="n"/>
      <c r="F108" s="152">
        <f>SUM(EncLoaded[[#This Row],[Direct Cost]:[Overhead Cost]])</f>
        <v/>
      </c>
      <c r="G108" s="152">
        <f>EncLoaded[[#This Row],[Total Cost]]/EncLoaded[[#This Row],[Volumes]]</f>
        <v/>
      </c>
    </row>
    <row r="109">
      <c r="A109" s="149" t="inlineStr">
        <is>
          <t>Select Facility</t>
        </is>
      </c>
      <c r="B109" s="150" t="inlineStr">
        <is>
          <t>Select Encounter Type</t>
        </is>
      </c>
      <c r="C109" s="153" t="n"/>
      <c r="D109" s="153" t="n"/>
      <c r="E109" s="153" t="n"/>
      <c r="F109" s="152">
        <f>SUM(EncLoaded[[#This Row],[Direct Cost]:[Overhead Cost]])</f>
        <v/>
      </c>
      <c r="G109" s="152">
        <f>EncLoaded[[#This Row],[Total Cost]]/EncLoaded[[#This Row],[Volumes]]</f>
        <v/>
      </c>
    </row>
    <row r="110">
      <c r="A110" s="149" t="inlineStr">
        <is>
          <t>Select Facility</t>
        </is>
      </c>
      <c r="B110" s="150" t="inlineStr">
        <is>
          <t>Select Encounter Type</t>
        </is>
      </c>
      <c r="C110" s="153" t="n"/>
      <c r="D110" s="153" t="n"/>
      <c r="E110" s="153" t="n"/>
      <c r="F110" s="152">
        <f>SUM(EncLoaded[[#This Row],[Direct Cost]:[Overhead Cost]])</f>
        <v/>
      </c>
      <c r="G110" s="152">
        <f>EncLoaded[[#This Row],[Total Cost]]/EncLoaded[[#This Row],[Volumes]]</f>
        <v/>
      </c>
    </row>
    <row r="111">
      <c r="A111" s="149" t="inlineStr">
        <is>
          <t>Select Facility</t>
        </is>
      </c>
      <c r="B111" s="150" t="inlineStr">
        <is>
          <t>Select Encounter Type</t>
        </is>
      </c>
      <c r="C111" s="153" t="n"/>
      <c r="D111" s="153" t="n"/>
      <c r="E111" s="153" t="n"/>
      <c r="F111" s="152">
        <f>SUM(EncLoaded[[#This Row],[Direct Cost]:[Overhead Cost]])</f>
        <v/>
      </c>
      <c r="G111" s="152">
        <f>EncLoaded[[#This Row],[Total Cost]]/EncLoaded[[#This Row],[Volumes]]</f>
        <v/>
      </c>
    </row>
  </sheetData>
  <sheetProtection selectLockedCells="1" selectUnlockedCells="0" algorithmName="SHA-512" sheet="1" objects="1" insertRows="1" insertHyperlinks="1" autoFilter="1" scenarios="1" formatColumns="1" deleteColumns="1" insertColumns="1" pivotTables="1" deleteRows="1" formatCells="1" saltValue="aFSJtGvbf3fzR+iPqFprbA==" formatRows="1" sort="1" spinCount="100000" hashValue="7P1lCx5AWoI/jM+lSXKPzfQUpD7eYbvITQMEutHS1L4iKjQwBJgih1xv0hOB1CmaVbNljDROZDMzYk7z16n8Hw=="/>
  <mergeCells count="2">
    <mergeCell ref="A1:C1"/>
    <mergeCell ref="G1:G4"/>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codeName="Sheet11">
    <tabColor rgb="FFE8D9BB"/>
    <outlinePr summaryBelow="1" summaryRight="1"/>
    <pageSetUpPr/>
  </sheetPr>
  <dimension ref="A1:G18"/>
  <sheetViews>
    <sheetView showGridLines="0" zoomScale="80" zoomScaleNormal="80" workbookViewId="0">
      <selection activeCell="G1" sqref="G1:G7"/>
    </sheetView>
  </sheetViews>
  <sheetFormatPr baseColWidth="8" defaultColWidth="8.85546875" defaultRowHeight="14.25"/>
  <cols>
    <col width="39.42578125" customWidth="1" style="22" min="1" max="1"/>
    <col width="47.7109375" customWidth="1" style="22" min="2" max="2"/>
    <col width="26" customWidth="1" style="22" min="3" max="4"/>
    <col width="39.42578125" customWidth="1" style="22" min="5" max="8"/>
    <col width="8.85546875" customWidth="1" style="22" min="9" max="16384"/>
  </cols>
  <sheetData>
    <row r="1">
      <c r="G1" s="131" t="e">
        <v>#VALUE!</v>
      </c>
    </row>
    <row r="2"/>
    <row r="3" ht="23.25" customHeight="1">
      <c r="A3" s="146" t="inlineStr">
        <is>
          <t>Abu Dhabi Clinical Costing Data Collection - Work in Progress Reporting</t>
        </is>
      </c>
    </row>
    <row r="4"/>
    <row r="5"/>
    <row r="6"/>
    <row r="7"/>
    <row r="9" ht="60.75" customHeight="1">
      <c r="A9" s="27" t="inlineStr">
        <is>
          <t>Category</t>
        </is>
      </c>
      <c r="B9" s="27" t="inlineStr">
        <is>
          <t>Reporting Instruction</t>
        </is>
      </c>
      <c r="C9" s="28" t="inlineStr">
        <is>
          <t>Report in Shafafiya</t>
        </is>
      </c>
      <c r="D9" s="28" t="inlineStr">
        <is>
          <t>Report in Reconciliation (WIP)</t>
        </is>
      </c>
      <c r="E9" s="28" t="inlineStr">
        <is>
          <t>Previous Year</t>
        </is>
      </c>
      <c r="F9" s="28" t="inlineStr">
        <is>
          <t>Present Year (Submission Year)</t>
        </is>
      </c>
      <c r="G9" s="28" t="inlineStr">
        <is>
          <t>Future Year</t>
        </is>
      </c>
    </row>
    <row r="10" ht="150.75" customHeight="1">
      <c r="A10" s="29" t="inlineStr">
        <is>
          <t>Patient admitted in Previous Year and discharged in Submission Year)</t>
        </is>
      </c>
      <c r="B10" s="38" t="inlineStr">
        <is>
          <t>Full Patient Cost (Previous Year and Submission Year) will be reported against costing outputs in Shafafiya for Submission Year.
Previous Year carried forward cost will also be reporting in the Main tab  of Reconciliation and added as reconciling item under 7.2</t>
        </is>
      </c>
      <c r="C10" s="30" t="inlineStr">
        <is>
          <t>YES</t>
        </is>
      </c>
      <c r="D10" s="30" t="inlineStr">
        <is>
          <t>YES</t>
        </is>
      </c>
      <c r="E10" s="31" t="n"/>
      <c r="F10" s="31" t="n"/>
      <c r="G10" s="31" t="n"/>
    </row>
    <row r="11" ht="150.75" customHeight="1">
      <c r="A11" s="29" t="inlineStr">
        <is>
          <t>Patient admitted in Previous Year but was not discharged in Submission Year)</t>
        </is>
      </c>
      <c r="B11" s="38" t="inlineStr">
        <is>
          <t>Full patient cost will not be reported against costing outputs in Shafafiya since the patient is not discharged on the last day of Submission Year.
The patient cost related to Submission Year will be reported in the main tab of  Reconciliation Report under 7.1</t>
        </is>
      </c>
      <c r="C11" s="32" t="inlineStr">
        <is>
          <t>NO</t>
        </is>
      </c>
      <c r="D11" s="30" t="inlineStr">
        <is>
          <t>YES</t>
        </is>
      </c>
      <c r="E11" s="31" t="n"/>
      <c r="F11" s="31" t="n"/>
      <c r="G11" s="31" t="n"/>
    </row>
    <row r="12" ht="150.75" customHeight="1">
      <c r="A12" s="29" t="inlineStr">
        <is>
          <t>Patient admitted and discharged in Submission Year</t>
        </is>
      </c>
      <c r="B12" s="38" t="inlineStr">
        <is>
          <t>Full patient cost will be reported against the costing outputs in Shafafiya for Submission Year</t>
        </is>
      </c>
      <c r="C12" s="30" t="inlineStr">
        <is>
          <t>YES</t>
        </is>
      </c>
      <c r="D12" s="32" t="inlineStr">
        <is>
          <t>NO</t>
        </is>
      </c>
      <c r="E12" s="31" t="n"/>
      <c r="F12" s="31" t="n"/>
      <c r="G12" s="31" t="n"/>
    </row>
    <row r="13" ht="150.75" customHeight="1">
      <c r="A13" s="29" t="inlineStr">
        <is>
          <t>Patient admitted in Submission Year but discharged in Future Year</t>
        </is>
      </c>
      <c r="B13" s="38" t="inlineStr">
        <is>
          <t>The patient cost will not be reported against costing ouputs in Shafafiya for the Submission Year.
The patient cost related to Submission Year will be reported in the Reconciliation Report under 7.1</t>
        </is>
      </c>
      <c r="C13" s="32" t="inlineStr">
        <is>
          <t>NO</t>
        </is>
      </c>
      <c r="D13" s="30" t="inlineStr">
        <is>
          <t>YES</t>
        </is>
      </c>
      <c r="E13" s="31" t="n"/>
      <c r="F13" s="31" t="n"/>
      <c r="G13" s="31" t="n"/>
    </row>
    <row r="18" ht="45" customHeight="1">
      <c r="C18" s="33" t="n"/>
    </row>
  </sheetData>
  <sheetProtection selectLockedCells="1" selectUnlockedCells="0" algorithmName="SHA-512" sheet="1" objects="1" insertRows="1" insertHyperlinks="1" autoFilter="1" scenarios="1" formatColumns="1" deleteColumns="1" insertColumns="1" pivotTables="1" deleteRows="1" formatCells="1" saltValue="LRs/AYhAwmZajmoNIH2DaQ==" formatRows="1" sort="1" spinCount="100000" hashValue="fiWNf5gXnk+d+WDQ3HFbfze28KfeePALtMJFC8Ttt3dCrVyW3FrXyZyHkzDnghrzTiNug5q8jCH6C0wKvoSTOg=="/>
  <mergeCells count="2">
    <mergeCell ref="A3:F6"/>
    <mergeCell ref="G1:G7"/>
  </mergeCells>
  <pageMargins left="0.7" right="0.7" top="0.75" bottom="0.75" header="0.3" footer="0.3"/>
</worksheet>
</file>

<file path=xl/worksheets/sheet9.xml><?xml version="1.0" encoding="utf-8"?>
<worksheet xmlns="http://schemas.openxmlformats.org/spreadsheetml/2006/main">
  <sheetPr codeName="Sheet15">
    <tabColor rgb="FFF0E7D4"/>
    <outlinePr summaryBelow="1" summaryRight="1"/>
    <pageSetUpPr/>
  </sheetPr>
  <dimension ref="A1:L35"/>
  <sheetViews>
    <sheetView showGridLines="0" topLeftCell="A12" zoomScale="70" zoomScaleNormal="70" workbookViewId="0">
      <selection activeCell="K15" sqref="K15"/>
    </sheetView>
  </sheetViews>
  <sheetFormatPr baseColWidth="8" defaultColWidth="8.85546875" defaultRowHeight="14.25"/>
  <cols>
    <col width="20.28515625" customWidth="1" style="22" min="1" max="1"/>
    <col width="63.140625" customWidth="1" style="22" min="2" max="2"/>
    <col width="60.140625" customWidth="1" style="22" min="3" max="3"/>
    <col width="113.5703125" customWidth="1" style="22" min="4" max="4"/>
    <col width="143.42578125" customWidth="1" style="22" min="5" max="5"/>
    <col width="39.140625" customWidth="1" style="22" min="6" max="6"/>
    <col width="20.7109375" customWidth="1" style="22" min="7" max="8"/>
    <col width="27" customWidth="1" style="22" min="9" max="9"/>
    <col width="25.7109375" customWidth="1" style="22" min="10" max="10"/>
    <col width="23.42578125" customWidth="1" style="22" min="11" max="11"/>
    <col width="80.42578125" customWidth="1" style="22" min="12" max="12"/>
    <col width="8.85546875" customWidth="1" style="22" min="13" max="13"/>
    <col width="59.28515625" customWidth="1" style="22" min="14" max="14"/>
    <col width="8.85546875" customWidth="1" style="22" min="15" max="16384"/>
  </cols>
  <sheetData>
    <row r="1" ht="23.25" customHeight="1">
      <c r="A1" s="131" t="e">
        <v>#VALUE!</v>
      </c>
      <c r="B1" s="146" t="inlineStr">
        <is>
          <t>Abu Dhabi Clinical Costing Data Collection - Data Validations</t>
        </is>
      </c>
      <c r="E1" s="57" t="n"/>
      <c r="F1" s="57" t="n"/>
      <c r="G1" s="25" t="n"/>
      <c r="H1" s="25" t="n"/>
      <c r="I1" s="25" t="n"/>
      <c r="J1" s="25" t="n"/>
      <c r="K1" s="25" t="n"/>
    </row>
    <row r="2" ht="23.25" customHeight="1">
      <c r="E2" s="57" t="n"/>
      <c r="F2" s="57" t="n"/>
      <c r="G2" s="25" t="n"/>
      <c r="H2" s="25" t="n"/>
      <c r="I2" s="25" t="n"/>
      <c r="J2" s="25" t="n"/>
      <c r="K2" s="25" t="n"/>
    </row>
    <row r="3" ht="23.45" customFormat="1" customHeight="1" s="23">
      <c r="B3" s="69" t="inlineStr">
        <is>
          <t>Note: These validations are non-exhaustive and directional. Cost accountants should use their judgment, expertise, and analytical skills to ensure data accuracy.</t>
        </is>
      </c>
      <c r="E3" s="70" t="n"/>
      <c r="F3" s="70" t="n"/>
      <c r="G3" s="35" t="n"/>
      <c r="H3" s="35" t="n"/>
      <c r="I3" s="35" t="n"/>
      <c r="J3" s="35" t="n"/>
      <c r="K3" s="35" t="n"/>
    </row>
    <row r="4" ht="15" customHeight="1">
      <c r="B4" s="71" t="inlineStr">
        <is>
          <t>1. You must check the box of one of the following columns for each Data Validation Line itemised in the below table:</t>
        </is>
      </c>
    </row>
    <row r="5">
      <c r="B5" s="71" t="inlineStr">
        <is>
          <t xml:space="preserve">2. Validated: Check this box for each of the validations performed and successfully passed. </t>
        </is>
      </c>
    </row>
    <row r="6">
      <c r="B6" s="71" t="inlineStr">
        <is>
          <t>3. Does Not Apply: Check this box only if the Encounter Type listed is does not apply to your Group or Facility</t>
        </is>
      </c>
    </row>
    <row r="7">
      <c r="B7" s="71" t="inlineStr">
        <is>
          <t>3. No Issues Detected Checklist: Check this box if there  were validations issues, but it was determined they were not detrimental to the quality of the data. In the case of  genuine outliers in the data, you can report no issue, however a brief explanation of  should be provided in the Comments column (L)</t>
        </is>
      </c>
    </row>
    <row r="8">
      <c r="A8" s="71" t="n"/>
      <c r="B8" s="71" t="inlineStr">
        <is>
          <t>4. With Issues Detected : Tick this box if there are issues in the data as per validations and tolerance. Provide Commentary as necessary or</t>
        </is>
      </c>
    </row>
    <row r="9">
      <c r="B9" s="71" t="inlineStr">
        <is>
          <t>5. Issues Resolved : Tick this box if a previous issue was identified and is now resolved. Provide brief commentary itemising the issue and action taken.</t>
        </is>
      </c>
    </row>
    <row r="12" ht="41.45" customHeight="1" thickBot="1">
      <c r="A12" s="54" t="inlineStr">
        <is>
          <t>Patient Type</t>
        </is>
      </c>
      <c r="B12" s="54" t="inlineStr">
        <is>
          <t xml:space="preserve">Encounter Type </t>
        </is>
      </c>
      <c r="C12" s="54" t="inlineStr">
        <is>
          <t>Description</t>
        </is>
      </c>
      <c r="D12" s="54" t="inlineStr">
        <is>
          <t>Validations</t>
        </is>
      </c>
      <c r="E12" s="54" t="inlineStr">
        <is>
          <t>Tolerance</t>
        </is>
      </c>
      <c r="F12" s="54" t="inlineStr">
        <is>
          <t>Non-Compliance</t>
        </is>
      </c>
      <c r="G12" s="54" t="inlineStr">
        <is>
          <t>Validated</t>
        </is>
      </c>
      <c r="H12" s="61" t="inlineStr">
        <is>
          <t>Does Not Apply</t>
        </is>
      </c>
      <c r="I12" s="72" t="inlineStr">
        <is>
          <t>No Issues Detected</t>
        </is>
      </c>
      <c r="J12" s="72" t="inlineStr">
        <is>
          <t>With Issues</t>
        </is>
      </c>
      <c r="K12" s="72" t="inlineStr">
        <is>
          <t>Issues Resolved</t>
        </is>
      </c>
      <c r="L12" s="54" t="inlineStr">
        <is>
          <t>Comments</t>
        </is>
      </c>
    </row>
    <row r="13" ht="28.5" customHeight="1">
      <c r="A13" s="66" t="inlineStr">
        <is>
          <t>All Patient Types</t>
        </is>
      </c>
      <c r="B13" s="66" t="inlineStr">
        <is>
          <t>All Encounter Types</t>
        </is>
      </c>
      <c r="C13" s="66" t="inlineStr">
        <is>
          <t>Zero / Negative Cost</t>
        </is>
      </c>
      <c r="D13" s="66" t="inlineStr">
        <is>
          <t>Identify zero or negative cost at the encounter / claim level</t>
        </is>
      </c>
      <c r="E13" s="67" t="inlineStr">
        <is>
          <t>Total encounter / claim cost is = &lt; 0 Dhs</t>
        </is>
      </c>
      <c r="F13" s="68" t="inlineStr">
        <is>
          <t>Rejection</t>
        </is>
      </c>
      <c r="G13" s="34" t="b">
        <v>1</v>
      </c>
      <c r="H13" s="34" t="b">
        <v>0</v>
      </c>
      <c r="I13" s="34" t="b">
        <v>1</v>
      </c>
      <c r="J13" s="34" t="b">
        <v>0</v>
      </c>
      <c r="K13" s="34" t="b">
        <v>0</v>
      </c>
      <c r="L13" s="37" t="inlineStr">
        <is>
          <t>9,738 claims in the twelve files; no zero or negative encounter (internal validator run on every file).</t>
        </is>
      </c>
    </row>
    <row r="14" ht="28.5" customHeight="1">
      <c r="A14" s="66" t="inlineStr">
        <is>
          <t>All Patient Types</t>
        </is>
      </c>
      <c r="B14" s="66" t="inlineStr">
        <is>
          <t>All Encounter Types</t>
        </is>
      </c>
      <c r="C14" s="66" t="inlineStr">
        <is>
          <t>Cost Bucket Total mismatch Cost Type Total</t>
        </is>
      </c>
      <c r="D14" s="66" t="inlineStr">
        <is>
          <t>Where total of cost buckets (direct and overhead) does not match to total of cost types (direct and overheads)</t>
        </is>
      </c>
      <c r="E14" s="67" t="n"/>
      <c r="F14" s="68" t="inlineStr">
        <is>
          <t>Rejection</t>
        </is>
      </c>
      <c r="G14" s="34" t="b">
        <v>1</v>
      </c>
      <c r="H14" s="34" t="b">
        <v>0</v>
      </c>
      <c r="I14" s="34" t="b">
        <v>1</v>
      </c>
      <c r="J14" s="34" t="b">
        <v>0</v>
      </c>
      <c r="K14" s="34" t="b">
        <v>0</v>
      </c>
      <c r="L14" s="37" t="inlineStr">
        <is>
          <t>Cost bucket total = cost type total on 9,738 of 9,738 claims, both views 6,453,401.98. This was the cause of the 9 Oct 2026 rejection; corrected in this resubmission.</t>
        </is>
      </c>
    </row>
    <row r="15" ht="28.5" customHeight="1">
      <c r="A15" s="66" t="inlineStr">
        <is>
          <t>Emergency</t>
        </is>
      </c>
      <c r="B15" s="66" t="inlineStr">
        <is>
          <t>2-No Bed + Emergency</t>
        </is>
      </c>
      <c r="C15" s="66" t="inlineStr">
        <is>
          <t>No Physician Cost Type</t>
        </is>
      </c>
      <c r="D15" s="66" t="inlineStr">
        <is>
          <t>Identify emergency encounters / claims without physician costs</t>
        </is>
      </c>
      <c r="E15" s="67" t="n"/>
      <c r="F15" s="68" t="inlineStr">
        <is>
          <t>Warning</t>
        </is>
      </c>
      <c r="G15" s="34" t="b">
        <v>0</v>
      </c>
      <c r="H15" s="34" t="b">
        <v>1</v>
      </c>
      <c r="I15" s="34" t="b">
        <v>0</v>
      </c>
      <c r="J15" s="34" t="b">
        <v>0</v>
      </c>
      <c r="K15" s="34" t="b">
        <v>0</v>
      </c>
      <c r="L15" s="37" t="inlineStr">
        <is>
          <t>Stand-alone outpatient dental clinic: no emergency, inpatient, day-case or home-care encounters.</t>
        </is>
      </c>
    </row>
    <row r="16" ht="28.5" customHeight="1">
      <c r="A16" s="66" t="inlineStr">
        <is>
          <t>Emergency</t>
        </is>
      </c>
      <c r="B16" s="66" t="inlineStr">
        <is>
          <t>2-No Bed + Emergency</t>
        </is>
      </c>
      <c r="C16" s="66" t="inlineStr">
        <is>
          <t>No ED Cost</t>
        </is>
      </c>
      <c r="D16" s="66" t="inlineStr">
        <is>
          <t>Identify emergency department encounters / claims with no associated costs</t>
        </is>
      </c>
      <c r="E16" s="67" t="n"/>
      <c r="F16" s="68" t="inlineStr">
        <is>
          <t>Warning</t>
        </is>
      </c>
      <c r="G16" s="34" t="b">
        <v>0</v>
      </c>
      <c r="H16" s="34" t="b">
        <v>1</v>
      </c>
      <c r="I16" s="34" t="b">
        <v>0</v>
      </c>
      <c r="J16" s="34" t="b">
        <v>0</v>
      </c>
      <c r="K16" s="34" t="b">
        <v>0</v>
      </c>
      <c r="L16" s="37" t="inlineStr">
        <is>
          <t>Stand-alone outpatient dental clinic: no emergency, inpatient, day-case or home-care encounters.</t>
        </is>
      </c>
    </row>
    <row r="17" ht="28.5" customHeight="1">
      <c r="A17" s="66" t="inlineStr">
        <is>
          <t>Inpatient</t>
        </is>
      </c>
      <c r="B17" s="66" t="inlineStr">
        <is>
          <t>4-Inpatient + Emergency  &amp;  3-Inpatient + No Emergency</t>
        </is>
      </c>
      <c r="C17" s="66" t="inlineStr">
        <is>
          <t>Low LOS Costs</t>
        </is>
      </c>
      <c r="D17" s="66" t="inlineStr">
        <is>
          <t>Identify low cost for IP encounter / claim</t>
        </is>
      </c>
      <c r="E17" s="67" t="inlineStr">
        <is>
          <t>Where LOS = Multiday and total encounter / claim costs less than  5000 Dhs by encounter / claim</t>
        </is>
      </c>
      <c r="F17" s="68" t="inlineStr">
        <is>
          <t>Warning</t>
        </is>
      </c>
      <c r="G17" s="34" t="b">
        <v>0</v>
      </c>
      <c r="H17" s="34" t="b">
        <v>1</v>
      </c>
      <c r="I17" s="34" t="b">
        <v>0</v>
      </c>
      <c r="J17" s="34" t="b">
        <v>0</v>
      </c>
      <c r="K17" s="34" t="b">
        <v>0</v>
      </c>
      <c r="L17" s="37" t="inlineStr">
        <is>
          <t>Stand-alone outpatient dental clinic: no emergency, inpatient, day-case or home-care encounters.</t>
        </is>
      </c>
    </row>
    <row r="18" ht="28.5" customHeight="1">
      <c r="A18" s="66" t="inlineStr">
        <is>
          <t>Inpatient</t>
        </is>
      </c>
      <c r="B18" s="66" t="inlineStr">
        <is>
          <t>4-Inpatient + Emergency  &amp;  3-Inpatient + No Emergency</t>
        </is>
      </c>
      <c r="C18" s="66" t="inlineStr">
        <is>
          <t>High Costs</t>
        </is>
      </c>
      <c r="D18" s="66" t="inlineStr">
        <is>
          <t>Identify total high-cost encounters / claims (excluded LTC type)</t>
        </is>
      </c>
      <c r="E18" s="67" t="inlineStr">
        <is>
          <t>Total encounter / claim cost is &gt; 500,000 Dhs by encounter / claim</t>
        </is>
      </c>
      <c r="F18" s="68" t="inlineStr">
        <is>
          <t>Warning</t>
        </is>
      </c>
      <c r="G18" s="34" t="b">
        <v>0</v>
      </c>
      <c r="H18" s="34" t="b">
        <v>1</v>
      </c>
      <c r="I18" s="34" t="b">
        <v>0</v>
      </c>
      <c r="J18" s="34" t="b">
        <v>0</v>
      </c>
      <c r="K18" s="34" t="b">
        <v>0</v>
      </c>
      <c r="L18" s="37" t="inlineStr">
        <is>
          <t>Stand-alone outpatient dental clinic: no emergency, inpatient, day-case or home-care encounters.</t>
        </is>
      </c>
    </row>
    <row r="19" ht="28.5" customHeight="1">
      <c r="A19" s="66" t="inlineStr">
        <is>
          <t>Inpatient</t>
        </is>
      </c>
      <c r="B19" s="66" t="inlineStr">
        <is>
          <t>4-Inpatient + Emergency  &amp;  3-Inpatient + No Emergency</t>
        </is>
      </c>
      <c r="C19" s="66" t="inlineStr">
        <is>
          <t>Theatre Attendance Flag but no Procedure time</t>
        </is>
      </c>
      <c r="D19" s="66" t="inlineStr">
        <is>
          <t>Identify encounters / claims where Theatre Attendance flag is "yes" but no procedure time is reported</t>
        </is>
      </c>
      <c r="E19" s="67" t="n"/>
      <c r="F19" s="68" t="inlineStr">
        <is>
          <t>Warning</t>
        </is>
      </c>
      <c r="G19" s="34" t="b">
        <v>0</v>
      </c>
      <c r="H19" s="34" t="b">
        <v>1</v>
      </c>
      <c r="I19" s="34" t="b">
        <v>0</v>
      </c>
      <c r="J19" s="34" t="b">
        <v>0</v>
      </c>
      <c r="K19" s="34" t="b">
        <v>0</v>
      </c>
      <c r="L19" s="37" t="inlineStr">
        <is>
          <t>Stand-alone outpatient dental clinic: no emergency, inpatient, day-case or home-care encounters.</t>
        </is>
      </c>
    </row>
    <row r="20" ht="28.5" customHeight="1">
      <c r="A20" s="66" t="inlineStr">
        <is>
          <t>Inpatient</t>
        </is>
      </c>
      <c r="B20" s="66" t="inlineStr">
        <is>
          <t>4-Inpatient + Emergency  &amp;  3-Inpatient + No Emergency</t>
        </is>
      </c>
      <c r="C20" s="66" t="inlineStr">
        <is>
          <t>Theatre Attendance Flag but not OR or SPS cost</t>
        </is>
      </c>
      <c r="D20" s="66" t="inlineStr">
        <is>
          <t>Identify encounters / claims where Theatre Attendance flag is "yes" but no OR or SPS cost is reported</t>
        </is>
      </c>
      <c r="E20" s="67" t="n"/>
      <c r="F20" s="68" t="inlineStr">
        <is>
          <t>Warning</t>
        </is>
      </c>
      <c r="G20" s="34" t="b">
        <v>0</v>
      </c>
      <c r="H20" s="34" t="b">
        <v>1</v>
      </c>
      <c r="I20" s="34" t="b">
        <v>0</v>
      </c>
      <c r="J20" s="34" t="b">
        <v>0</v>
      </c>
      <c r="K20" s="34" t="b">
        <v>0</v>
      </c>
      <c r="L20" s="37" t="inlineStr">
        <is>
          <t>Stand-alone outpatient dental clinic: no emergency, inpatient, day-case or home-care encounters.</t>
        </is>
      </c>
    </row>
    <row r="21" ht="28.5" customHeight="1">
      <c r="A21" s="66" t="inlineStr">
        <is>
          <t>Inpatient</t>
        </is>
      </c>
      <c r="B21" s="66" t="inlineStr">
        <is>
          <t>4-Inpatient + Emergency  &amp;  3-Inpatient + No Emergency</t>
        </is>
      </c>
      <c r="C21" s="66" t="inlineStr">
        <is>
          <t>Surgical DRG No OR Cost</t>
        </is>
      </c>
      <c r="D21" s="66" t="inlineStr">
        <is>
          <t>Identify encounters / claims with surgical DRGs with no Operating Room or Special Procedure Suites cost</t>
        </is>
      </c>
      <c r="E21" s="67" t="inlineStr">
        <is>
          <t>Where encounters / claim are grouped to surgical DRGs but OR and SPS cost buckets have zero cost</t>
        </is>
      </c>
      <c r="F21" s="68" t="inlineStr">
        <is>
          <t>Warning</t>
        </is>
      </c>
      <c r="G21" s="34" t="b">
        <v>0</v>
      </c>
      <c r="H21" s="34" t="b">
        <v>1</v>
      </c>
      <c r="I21" s="34" t="b">
        <v>0</v>
      </c>
      <c r="J21" s="34" t="b">
        <v>0</v>
      </c>
      <c r="K21" s="34" t="b">
        <v>0</v>
      </c>
      <c r="L21" s="37" t="inlineStr">
        <is>
          <t>Stand-alone outpatient dental clinic: no emergency, inpatient, day-case or home-care encounters.</t>
        </is>
      </c>
    </row>
    <row r="22" ht="28.5" customHeight="1">
      <c r="A22" s="66" t="inlineStr">
        <is>
          <t>Inpatient</t>
        </is>
      </c>
      <c r="B22" s="66" t="inlineStr">
        <is>
          <t>4-Inpatient + Emergency  &amp;  3-Inpatient + No Emergency</t>
        </is>
      </c>
      <c r="C22" s="66" t="inlineStr">
        <is>
          <t>Prostheses DRG No Cost</t>
        </is>
      </c>
      <c r="D22" s="66" t="inlineStr">
        <is>
          <t>Identify encounters / claims in DRGs with expected prostheses consumption but no  prosthesis cost</t>
        </is>
      </c>
      <c r="E22" s="67" t="inlineStr">
        <is>
          <t>Where encounters / claim are grouped to DRGs with expected prosthesis consumption, but the prosthesis cost bucket has zero cost</t>
        </is>
      </c>
      <c r="F22" s="68" t="inlineStr">
        <is>
          <t>Warning</t>
        </is>
      </c>
      <c r="G22" s="34" t="b">
        <v>0</v>
      </c>
      <c r="H22" s="34" t="b">
        <v>1</v>
      </c>
      <c r="I22" s="34" t="b">
        <v>0</v>
      </c>
      <c r="J22" s="34" t="b">
        <v>0</v>
      </c>
      <c r="K22" s="34" t="b">
        <v>0</v>
      </c>
      <c r="L22" s="37" t="inlineStr">
        <is>
          <t>Stand-alone outpatient dental clinic: no emergency, inpatient, day-case or home-care encounters.</t>
        </is>
      </c>
    </row>
    <row r="23" ht="28.5" customHeight="1">
      <c r="A23" s="66" t="inlineStr">
        <is>
          <t>Inpatient</t>
        </is>
      </c>
      <c r="B23" s="66" t="inlineStr">
        <is>
          <t>4-Inpatient + Emergency  &amp;  3-Inpatient + No Emergency</t>
        </is>
      </c>
      <c r="C23" s="66" t="inlineStr">
        <is>
          <t>No Ward / HDU Cost</t>
        </is>
      </c>
      <c r="D23" s="66" t="inlineStr">
        <is>
          <t>Identify inpatient encounters / claims without Ward / ICU costs</t>
        </is>
      </c>
      <c r="E23" s="67" t="inlineStr">
        <is>
          <t>Encounter IP with ward / ICU cost = 0 Dhs</t>
        </is>
      </c>
      <c r="F23" s="68" t="inlineStr">
        <is>
          <t>Warning</t>
        </is>
      </c>
      <c r="G23" s="34" t="b">
        <v>0</v>
      </c>
      <c r="H23" s="34" t="b">
        <v>1</v>
      </c>
      <c r="I23" s="34" t="b">
        <v>0</v>
      </c>
      <c r="J23" s="34" t="b">
        <v>0</v>
      </c>
      <c r="K23" s="34" t="b">
        <v>0</v>
      </c>
      <c r="L23" s="37" t="inlineStr">
        <is>
          <t>Stand-alone outpatient dental clinic: no emergency, inpatient, day-case or home-care encounters.</t>
        </is>
      </c>
    </row>
    <row r="24" ht="28.5" customHeight="1">
      <c r="A24" s="66" t="inlineStr">
        <is>
          <t>Inpatient</t>
        </is>
      </c>
      <c r="B24" s="66" t="inlineStr">
        <is>
          <t>4-Inpatient + Emergency  &amp;  3-Inpatient + No Emergency</t>
        </is>
      </c>
      <c r="C24" s="66" t="inlineStr">
        <is>
          <t>No Physician Cost bucket</t>
        </is>
      </c>
      <c r="D24" s="66" t="inlineStr">
        <is>
          <t>Identify inpatient encounters / claims where physician costs are missing</t>
        </is>
      </c>
      <c r="E24" s="67" t="n"/>
      <c r="F24" s="68" t="inlineStr">
        <is>
          <t>Warning</t>
        </is>
      </c>
      <c r="G24" s="34" t="b">
        <v>0</v>
      </c>
      <c r="H24" s="34" t="b">
        <v>1</v>
      </c>
      <c r="I24" s="34" t="b">
        <v>0</v>
      </c>
      <c r="J24" s="34" t="b">
        <v>0</v>
      </c>
      <c r="K24" s="34" t="b">
        <v>0</v>
      </c>
      <c r="L24" s="37" t="inlineStr">
        <is>
          <t>Stand-alone outpatient dental clinic: no emergency, inpatient, day-case or home-care encounters.</t>
        </is>
      </c>
    </row>
    <row r="25" ht="28.5" customHeight="1">
      <c r="A25" s="66" t="inlineStr">
        <is>
          <t>Inpatient</t>
        </is>
      </c>
      <c r="B25" s="66" t="inlineStr">
        <is>
          <t>4-Inpatient + Emergency  &amp;  3-Inpatient + No Emergency</t>
        </is>
      </c>
      <c r="C25" s="66" t="inlineStr">
        <is>
          <t>No Pharmacy Cost</t>
        </is>
      </c>
      <c r="D25" s="66" t="inlineStr">
        <is>
          <t>Identify inpatient encounters / claims with no pharmacy costs</t>
        </is>
      </c>
      <c r="E25" s="67" t="n"/>
      <c r="F25" s="68" t="inlineStr">
        <is>
          <t>Warning</t>
        </is>
      </c>
      <c r="G25" s="34" t="b">
        <v>0</v>
      </c>
      <c r="H25" s="34" t="b">
        <v>1</v>
      </c>
      <c r="I25" s="34" t="b">
        <v>0</v>
      </c>
      <c r="J25" s="34" t="b">
        <v>0</v>
      </c>
      <c r="K25" s="34" t="b">
        <v>0</v>
      </c>
      <c r="L25" s="37" t="inlineStr">
        <is>
          <t>Stand-alone outpatient dental clinic: no emergency, inpatient, day-case or home-care encounters.</t>
        </is>
      </c>
    </row>
    <row r="26" ht="28.5" customHeight="1">
      <c r="A26" s="66" t="inlineStr">
        <is>
          <t>Inpatient</t>
        </is>
      </c>
      <c r="B26" s="66" t="inlineStr">
        <is>
          <t>4-Inpatient + Emergency  &amp;  3-Inpatient + No Emergency</t>
        </is>
      </c>
      <c r="C26" s="66" t="inlineStr">
        <is>
          <t>No Laboratory Cost</t>
        </is>
      </c>
      <c r="D26" s="66" t="inlineStr">
        <is>
          <t>Identify inpatient encounters / claims without laboratory costs</t>
        </is>
      </c>
      <c r="E26" s="67" t="n"/>
      <c r="F26" s="68" t="inlineStr">
        <is>
          <t>Warning</t>
        </is>
      </c>
      <c r="G26" s="34" t="b">
        <v>0</v>
      </c>
      <c r="H26" s="34" t="b">
        <v>1</v>
      </c>
      <c r="I26" s="34" t="b">
        <v>0</v>
      </c>
      <c r="J26" s="34" t="b">
        <v>0</v>
      </c>
      <c r="K26" s="34" t="b">
        <v>0</v>
      </c>
      <c r="L26" s="37" t="inlineStr">
        <is>
          <t>Stand-alone outpatient dental clinic: no emergency, inpatient, day-case or home-care encounters.</t>
        </is>
      </c>
    </row>
    <row r="27" ht="28.5" customHeight="1">
      <c r="A27" s="66" t="inlineStr">
        <is>
          <t>Inpatient</t>
        </is>
      </c>
      <c r="B27" s="66" t="inlineStr">
        <is>
          <t>4-Inpatient + Emergency  &amp;  3-Inpatient + No Emergency</t>
        </is>
      </c>
      <c r="C27" s="66" t="inlineStr">
        <is>
          <t>OR Cost But No Anaesthesia Cost</t>
        </is>
      </c>
      <c r="D27" s="66" t="inlineStr">
        <is>
          <t>Identify encounters / claims with OR cost but no Anaesthesia cost</t>
        </is>
      </c>
      <c r="E27" s="67" t="n"/>
      <c r="F27" s="68" t="inlineStr">
        <is>
          <t>Warning</t>
        </is>
      </c>
      <c r="G27" s="34" t="b">
        <v>0</v>
      </c>
      <c r="H27" s="34" t="b">
        <v>1</v>
      </c>
      <c r="I27" s="34" t="b">
        <v>0</v>
      </c>
      <c r="J27" s="34" t="b">
        <v>0</v>
      </c>
      <c r="K27" s="34" t="b">
        <v>0</v>
      </c>
      <c r="L27" s="37" t="inlineStr">
        <is>
          <t>Stand-alone outpatient dental clinic: no emergency, inpatient, day-case or home-care encounters.</t>
        </is>
      </c>
    </row>
    <row r="28" ht="28.5" customHeight="1">
      <c r="A28" s="66" t="inlineStr">
        <is>
          <t>Outpatient</t>
        </is>
      </c>
      <c r="B28" s="66" t="inlineStr">
        <is>
          <t>1-No Bed + No Emergency</t>
        </is>
      </c>
      <c r="C28" s="66" t="inlineStr">
        <is>
          <t>High OP Costs</t>
        </is>
      </c>
      <c r="D28" s="66" t="inlineStr">
        <is>
          <t>Identify non admitted encounters / claims with high total costs for OP attendances</t>
        </is>
      </c>
      <c r="E28" s="67" t="inlineStr">
        <is>
          <t>Total encounter / claim cost is &gt; 5,000 Dhs</t>
        </is>
      </c>
      <c r="F28" s="68" t="inlineStr">
        <is>
          <t>Warning</t>
        </is>
      </c>
      <c r="G28" s="34" t="b">
        <v>1</v>
      </c>
      <c r="H28" s="34" t="b">
        <v>0</v>
      </c>
      <c r="I28" s="34" t="b">
        <v>1</v>
      </c>
      <c r="J28" s="34" t="b">
        <v>0</v>
      </c>
      <c r="K28" s="34" t="b">
        <v>0</v>
      </c>
      <c r="L28" s="37" t="inlineStr">
        <is>
          <t>218 claims above 5,000 AED: implant, bone-graft, full-arch and multi-crown prosthodontic cases; prostheses at actual stock cost. Reviewed, genuine.</t>
        </is>
      </c>
    </row>
    <row r="29" ht="28.5" customHeight="1">
      <c r="A29" s="66" t="inlineStr">
        <is>
          <t>Outpatient</t>
        </is>
      </c>
      <c r="B29" s="66" t="inlineStr">
        <is>
          <t>1-No Bed + No Emergency</t>
        </is>
      </c>
      <c r="C29" s="66" t="inlineStr">
        <is>
          <t>Low OP Costs</t>
        </is>
      </c>
      <c r="D29" s="66" t="inlineStr">
        <is>
          <t>Identify non admitted encounters / claims with low total costs for OP attendances</t>
        </is>
      </c>
      <c r="E29" s="67" t="inlineStr">
        <is>
          <t>Total encounter / claim cost is &lt; 50 Dhs</t>
        </is>
      </c>
      <c r="F29" s="68" t="inlineStr">
        <is>
          <t>Warning</t>
        </is>
      </c>
      <c r="G29" s="34" t="b">
        <v>1</v>
      </c>
      <c r="H29" s="34" t="b">
        <v>0</v>
      </c>
      <c r="I29" s="34" t="b">
        <v>1</v>
      </c>
      <c r="J29" s="34" t="b">
        <v>0</v>
      </c>
      <c r="K29" s="34" t="b">
        <v>0</v>
      </c>
      <c r="L29" s="37" t="inlineStr">
        <is>
          <t>1,152 claims below 50 AED: single low-fee attendances (consultations, reviews, simple procedures) costed from the CPT allocation table. Reviewed, genuine; table prices noted for SY03.</t>
        </is>
      </c>
    </row>
    <row r="30" ht="28.5" customHeight="1">
      <c r="A30" s="66" t="inlineStr">
        <is>
          <t>Outpatient</t>
        </is>
      </c>
      <c r="B30" s="66" t="inlineStr">
        <is>
          <t>1-No Bed + No Emergency</t>
        </is>
      </c>
      <c r="C30" s="66" t="inlineStr">
        <is>
          <t>Unexpected Clinic Costs</t>
        </is>
      </c>
      <c r="D30" s="66" t="inlineStr">
        <is>
          <t>Identify non admitted clinic encounters / claims with unexpected costs</t>
        </is>
      </c>
      <c r="E30" s="67" t="inlineStr">
        <is>
          <t>Identify where ICU, OR, SPS, ED cost buckets have cost against these encounters / claim</t>
        </is>
      </c>
      <c r="F30" s="68" t="inlineStr">
        <is>
          <t>Warning</t>
        </is>
      </c>
      <c r="G30" s="34" t="b">
        <v>1</v>
      </c>
      <c r="H30" s="34" t="b">
        <v>0</v>
      </c>
      <c r="I30" s="34" t="b">
        <v>1</v>
      </c>
      <c r="J30" s="34" t="b">
        <v>0</v>
      </c>
      <c r="K30" s="34" t="b">
        <v>0</v>
      </c>
      <c r="L30" s="37" t="inlineStr">
        <is>
          <t>0 claims carry ICU, OR, SPS or ED cost. Buckets used: Dental, Anaesthesia, Imaging, Prosthesis.</t>
        </is>
      </c>
    </row>
    <row r="31" ht="28.5" customHeight="1">
      <c r="A31" s="66" t="inlineStr">
        <is>
          <t>Outpatient</t>
        </is>
      </c>
      <c r="B31" s="66" t="inlineStr">
        <is>
          <t>5-Day Case + No Emergency &amp; 6-Day Case + Emergency</t>
        </is>
      </c>
      <c r="C31" s="66" t="inlineStr">
        <is>
          <t>High Day Procedure Costs</t>
        </is>
      </c>
      <c r="D31" s="66" t="inlineStr">
        <is>
          <t>Identify non admitted procedure encounters / claims with high costs</t>
        </is>
      </c>
      <c r="E31" s="67" t="inlineStr">
        <is>
          <t>Total encounter / claim costs is &gt; 25,000 Dhs</t>
        </is>
      </c>
      <c r="F31" s="68" t="inlineStr">
        <is>
          <t>Warning</t>
        </is>
      </c>
      <c r="G31" s="34" t="b">
        <v>0</v>
      </c>
      <c r="H31" s="34" t="b">
        <v>1</v>
      </c>
      <c r="I31" s="34" t="b">
        <v>0</v>
      </c>
      <c r="J31" s="34" t="b">
        <v>0</v>
      </c>
      <c r="K31" s="34" t="b">
        <v>0</v>
      </c>
      <c r="L31" s="37" t="inlineStr">
        <is>
          <t>Stand-alone outpatient dental clinic: no emergency, inpatient, day-case or home-care encounters.</t>
        </is>
      </c>
    </row>
    <row r="32" ht="28.5" customHeight="1">
      <c r="A32" s="66" t="inlineStr">
        <is>
          <t>Outpatient</t>
        </is>
      </c>
      <c r="B32" s="66" t="inlineStr">
        <is>
          <t>5-Day Case + No Emergency &amp; 6-Day Case + Emergency</t>
        </is>
      </c>
      <c r="C32" s="66" t="inlineStr">
        <is>
          <t>Low Day Procedure Costs</t>
        </is>
      </c>
      <c r="D32" s="66" t="inlineStr">
        <is>
          <t>Identify non admitted procedure encounters / claims with low costs</t>
        </is>
      </c>
      <c r="E32" s="67" t="inlineStr">
        <is>
          <t>Total encounter / claim costs is &lt;500 Dhs</t>
        </is>
      </c>
      <c r="F32" s="68" t="inlineStr">
        <is>
          <t>Warning</t>
        </is>
      </c>
      <c r="G32" s="34" t="b">
        <v>0</v>
      </c>
      <c r="H32" s="34" t="b">
        <v>1</v>
      </c>
      <c r="I32" s="34" t="b">
        <v>0</v>
      </c>
      <c r="J32" s="34" t="b">
        <v>0</v>
      </c>
      <c r="K32" s="34" t="b">
        <v>0</v>
      </c>
      <c r="L32" s="37" t="inlineStr">
        <is>
          <t>Stand-alone outpatient dental clinic: no emergency, inpatient, day-case or home-care encounters.</t>
        </is>
      </c>
    </row>
    <row r="33" ht="28.5" customHeight="1">
      <c r="A33" s="66" t="inlineStr">
        <is>
          <t>Home Care</t>
        </is>
      </c>
      <c r="B33" s="66" t="inlineStr">
        <is>
          <t>12-Home Care</t>
        </is>
      </c>
      <c r="C33" s="66" t="inlineStr">
        <is>
          <t xml:space="preserve">High Cost </t>
        </is>
      </c>
      <c r="D33" s="66" t="inlineStr">
        <is>
          <t>Identify encounters / claims with high costs</t>
        </is>
      </c>
      <c r="E33" s="67" t="inlineStr">
        <is>
          <t>Total encounter / claim costs is &gt; 25,000 Dhs</t>
        </is>
      </c>
      <c r="F33" s="68" t="inlineStr">
        <is>
          <t>Warning</t>
        </is>
      </c>
      <c r="G33" s="34" t="b">
        <v>0</v>
      </c>
      <c r="H33" s="34" t="b">
        <v>1</v>
      </c>
      <c r="I33" s="34" t="b">
        <v>0</v>
      </c>
      <c r="J33" s="34" t="b">
        <v>0</v>
      </c>
      <c r="K33" s="34" t="b">
        <v>0</v>
      </c>
      <c r="L33" s="37" t="inlineStr">
        <is>
          <t>Stand-alone outpatient dental clinic: no emergency, inpatient, day-case or home-care encounters.</t>
        </is>
      </c>
    </row>
    <row r="34" ht="28.5" customHeight="1">
      <c r="A34" s="66" t="inlineStr">
        <is>
          <t>Home Care</t>
        </is>
      </c>
      <c r="B34" s="66" t="inlineStr">
        <is>
          <t>12-Home Care</t>
        </is>
      </c>
      <c r="C34" s="66" t="inlineStr">
        <is>
          <t>Low Cost</t>
        </is>
      </c>
      <c r="D34" s="66" t="inlineStr">
        <is>
          <t>Identify encounters / claims with low costs</t>
        </is>
      </c>
      <c r="E34" s="67" t="inlineStr">
        <is>
          <t>Total encounter / claim costs is &lt;50 Dhs</t>
        </is>
      </c>
      <c r="F34" s="68" t="inlineStr">
        <is>
          <t>Warning</t>
        </is>
      </c>
      <c r="G34" s="34" t="b">
        <v>0</v>
      </c>
      <c r="H34" s="34" t="b">
        <v>1</v>
      </c>
      <c r="I34" s="34" t="b">
        <v>0</v>
      </c>
      <c r="J34" s="34" t="b">
        <v>0</v>
      </c>
      <c r="K34" s="34" t="b">
        <v>0</v>
      </c>
      <c r="L34" s="37" t="inlineStr">
        <is>
          <t>Stand-alone outpatient dental clinic: no emergency, inpatient, day-case or home-care encounters.</t>
        </is>
      </c>
    </row>
    <row r="35" ht="28.5" customHeight="1">
      <c r="A35" s="73" t="inlineStr">
        <is>
          <t>Home Care</t>
        </is>
      </c>
      <c r="B35" s="73" t="inlineStr">
        <is>
          <t>12-Home Care</t>
        </is>
      </c>
      <c r="C35" s="73" t="inlineStr">
        <is>
          <t>Unexpected Costs</t>
        </is>
      </c>
      <c r="D35" s="73" t="inlineStr">
        <is>
          <t>Identify encounters / claims /bundles with unexpected costs</t>
        </is>
      </c>
      <c r="E35" s="74" t="inlineStr">
        <is>
          <t>Identify where Ward, ICU, OR, SPS, ED cost buckets have cost against these encounters / claim</t>
        </is>
      </c>
      <c r="F35" s="75" t="inlineStr">
        <is>
          <t>Warning</t>
        </is>
      </c>
      <c r="G35" s="40" t="b">
        <v>0</v>
      </c>
      <c r="H35" s="40" t="b">
        <v>1</v>
      </c>
      <c r="I35" s="40" t="b">
        <v>0</v>
      </c>
      <c r="J35" s="40" t="b">
        <v>0</v>
      </c>
      <c r="K35" s="40" t="b">
        <v>0</v>
      </c>
      <c r="L35" s="6" t="inlineStr">
        <is>
          <t>Stand-alone outpatient dental clinic: no emergency, inpatient, day-case or home-care encounters.</t>
        </is>
      </c>
    </row>
  </sheetData>
  <sheetProtection selectLockedCells="1" selectUnlockedCells="0" algorithmName="SHA-512" sheet="1" objects="1" insertRows="1" insertHyperlinks="1" autoFilter="1" scenarios="1" formatColumns="1" deleteColumns="1" insertColumns="1" pivotTables="1" deleteRows="1" formatCells="1" saltValue="ME1tlof9p2LrxQ4xQ1rGYw==" formatRows="1" sort="1" spinCount="100000" hashValue="UbhXk8a1FsscB5rC4GuP1p5brfUxt6HS+CNIxudx/eYnlFTmgp85cr5RkiNbbHgyzehoyHngJVkhVoEas301fg=="/>
  <mergeCells count="2">
    <mergeCell ref="A1:A7"/>
    <mergeCell ref="B1:D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DoHclinicalcosting@doh.gov.ae</dc:creator>
  <dcterms:created xmlns:dcterms="http://purl.org/dc/terms/" xmlns:xsi="http://www.w3.org/2001/XMLSchema-instance" xsi:type="dcterms:W3CDTF">2023-10-02T04:38:01Z</dcterms:created>
  <dcterms:modified xmlns:dcterms="http://purl.org/dc/terms/" xmlns:xsi="http://www.w3.org/2001/XMLSchema-instance" xsi:type="dcterms:W3CDTF">2026-10-27T15:05:13Z</dcterms:modified>
  <cp:lastModifiedBy>Cashier Vision Dental Clinic</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0x010100A29C1868F6B889429B4C552525BDAFAB</vt:lpwstr>
  </property>
  <property name="Order" fmtid="{D5CDD505-2E9C-101B-9397-08002B2CF9AE}" pid="3">
    <vt:r8 xmlns:vt="http://schemas.openxmlformats.org/officeDocument/2006/docPropsVTypes">178400</vt:r8>
  </property>
  <property name="xd_Signature" fmtid="{D5CDD505-2E9C-101B-9397-08002B2CF9AE}" pid="4">
    <vt:bool xmlns:vt="http://schemas.openxmlformats.org/officeDocument/2006/docPropsVTypes">0</vt:bool>
  </property>
  <property name="xd_ProgID"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MediaServiceImageTags" fmtid="{D5CDD505-2E9C-101B-9397-08002B2CF9AE}" pid="10">
    <vt:lpwstr xmlns:vt="http://schemas.openxmlformats.org/officeDocument/2006/docPropsVTypes"/>
  </property>
  <property name="MSIP_Label_f549225b-fad7-4c98-a45a-88b80b9db95f_Enabled" fmtid="{D5CDD505-2E9C-101B-9397-08002B2CF9AE}" pid="11">
    <vt:lpwstr xmlns:vt="http://schemas.openxmlformats.org/officeDocument/2006/docPropsVTypes">true</vt:lpwstr>
  </property>
  <property name="MSIP_Label_f549225b-fad7-4c98-a45a-88b80b9db95f_SetDate" fmtid="{D5CDD505-2E9C-101B-9397-08002B2CF9AE}" pid="12">
    <vt:lpwstr xmlns:vt="http://schemas.openxmlformats.org/officeDocument/2006/docPropsVTypes">2026-07-28T06:08:53Z</vt:lpwstr>
  </property>
  <property name="MSIP_Label_f549225b-fad7-4c98-a45a-88b80b9db95f_Method" fmtid="{D5CDD505-2E9C-101B-9397-08002B2CF9AE}" pid="13">
    <vt:lpwstr xmlns:vt="http://schemas.openxmlformats.org/officeDocument/2006/docPropsVTypes">Standard</vt:lpwstr>
  </property>
  <property name="MSIP_Label_f549225b-fad7-4c98-a45a-88b80b9db95f_Name" fmtid="{D5CDD505-2E9C-101B-9397-08002B2CF9AE}" pid="14">
    <vt:lpwstr xmlns:vt="http://schemas.openxmlformats.org/officeDocument/2006/docPropsVTypes">Restricted-Test</vt:lpwstr>
  </property>
  <property name="MSIP_Label_f549225b-fad7-4c98-a45a-88b80b9db95f_SiteId" fmtid="{D5CDD505-2E9C-101B-9397-08002B2CF9AE}" pid="15">
    <vt:lpwstr xmlns:vt="http://schemas.openxmlformats.org/officeDocument/2006/docPropsVTypes">92e3f433-65c8-460d-9a27-e252a02d1b4f</vt:lpwstr>
  </property>
  <property name="MSIP_Label_f549225b-fad7-4c98-a45a-88b80b9db95f_ActionId" fmtid="{D5CDD505-2E9C-101B-9397-08002B2CF9AE}" pid="16">
    <vt:lpwstr xmlns:vt="http://schemas.openxmlformats.org/officeDocument/2006/docPropsVTypes">34886d31-6fde-431c-bdb3-a7be8dfad47a</vt:lpwstr>
  </property>
  <property name="MSIP_Label_f549225b-fad7-4c98-a45a-88b80b9db95f_ContentBits" fmtid="{D5CDD505-2E9C-101B-9397-08002B2CF9AE}" pid="17">
    <vt:lpwstr xmlns:vt="http://schemas.openxmlformats.org/officeDocument/2006/docPropsVTypes">0</vt:lpwstr>
  </property>
  <property name="MSIP_Label_f549225b-fad7-4c98-a45a-88b80b9db95f_Tag" fmtid="{D5CDD505-2E9C-101B-9397-08002B2CF9AE}" pid="18">
    <vt:lpwstr xmlns:vt="http://schemas.openxmlformats.org/officeDocument/2006/docPropsVTypes">10, 1, 2, 1</vt:lpwstr>
  </property>
</Properties>
</file>